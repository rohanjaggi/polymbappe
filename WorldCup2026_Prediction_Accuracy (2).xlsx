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atches" sheetId="2" state="visible" r:id="rId4"/>
    <sheet name="By Matchday" sheetId="3" state="visible" r:id="rId5"/>
    <sheet name="Knockout R32" sheetId="4" state="visible" r:id="rId6"/>
    <sheet name="Odds &amp; Scorin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<sst xmlns="http://schemas.openxmlformats.org/spreadsheetml/2006/main" count="810" uniqueCount="289">
  <si>
    <t xml:space="preserve">World Cup 2026 — Bookmaker Prediction Accuracy</t>
  </si>
  <si>
    <t xml:space="preserve">Headline metrics (all live formulas off the Matches sheet)</t>
  </si>
  <si>
    <t xml:space="preserve">Matches completed</t>
  </si>
  <si>
    <t xml:space="preserve">Correct predictions</t>
  </si>
  <si>
    <t xml:space="preserve">Off</t>
  </si>
  <si>
    <t xml:space="preserve">Overall accuracy</t>
  </si>
  <si>
    <t xml:space="preserve">— of which: favorite held to draw</t>
  </si>
  <si>
    <t xml:space="preserve">— of which: outright upsets</t>
  </si>
  <si>
    <t xml:space="preserve">Method</t>
  </si>
  <si>
    <t xml:space="preserve">Prediction = the shortest-odds three-way outcome (the favorite to win; no draw was a shortest-odds outcome in this sample). Odds proxy: Fox Sports three-way moneylines, the consensus favorite across books; results cross-checked vs CBS/ESPN/Yahoo. Through 18 Jun 2026. Three 18 Jun favorites are ranking/home-inferred. Tournament still in progress — the title prediction is not yet gradable.</t>
  </si>
  <si>
    <t xml:space="preserve">How to update each matchday</t>
  </si>
  <si>
    <t xml:space="preserve">1) On the Matches sheet, add one row per new match: Date, Round, teams, Predicted (favorite), line, Score, Actual winner (exact team name, or 'Draw'). The Correct column fills itself. 2) On By Matchday, add a row for the new date. All summary figures update on open / recalc.</t>
  </si>
  <si>
    <t xml:space="preserve">2026 FIFA World Cup — Shortest-Odds Prediction vs. Actual Result</t>
  </si>
  <si>
    <t xml:space="preserve">A prediction is CORRECT when the shortest-odds (favorite) outcome actually occurs. Edit / add rows below; all totals recalculate automatically.</t>
  </si>
  <si>
    <t xml:space="preserve">Date</t>
  </si>
  <si>
    <t xml:space="preserve">Round</t>
  </si>
  <si>
    <t xml:space="preserve">Match (Fav vs Opp)</t>
  </si>
  <si>
    <t xml:space="preserve">Predicted (shortest-odds)</t>
  </si>
  <si>
    <t xml:space="preserve">Fav line / note</t>
  </si>
  <si>
    <t xml:space="preserve">Score</t>
  </si>
  <si>
    <t xml:space="preserve">Actual winner</t>
  </si>
  <si>
    <t xml:space="preserve">Correct</t>
  </si>
  <si>
    <t xml:space="preserve">Outcome type</t>
  </si>
  <si>
    <t xml:space="preserve">R1</t>
  </si>
  <si>
    <t xml:space="preserve">Mexico v South Africa</t>
  </si>
  <si>
    <t xml:space="preserve">Mexico</t>
  </si>
  <si>
    <t xml:space="preserve">-241</t>
  </si>
  <si>
    <t xml:space="preserve">2-0</t>
  </si>
  <si>
    <t xml:space="preserve">South Korea v Czechia</t>
  </si>
  <si>
    <t xml:space="preserve">South Korea</t>
  </si>
  <si>
    <t xml:space="preserve">+156 (slim)</t>
  </si>
  <si>
    <t xml:space="preserve">2-1</t>
  </si>
  <si>
    <t xml:space="preserve">Canada v Bosnia</t>
  </si>
  <si>
    <t xml:space="preserve">Canada</t>
  </si>
  <si>
    <t xml:space="preserve">fav held (draw +249)</t>
  </si>
  <si>
    <t xml:space="preserve">1-1</t>
  </si>
  <si>
    <t xml:space="preserve">Draw</t>
  </si>
  <si>
    <t xml:space="preserve">USA v Paraguay</t>
  </si>
  <si>
    <t xml:space="preserve">USA</t>
  </si>
  <si>
    <t xml:space="preserve">+104</t>
  </si>
  <si>
    <t xml:space="preserve">4-1</t>
  </si>
  <si>
    <t xml:space="preserve">Qatar v Switzerland</t>
  </si>
  <si>
    <t xml:space="preserve">Switzerland</t>
  </si>
  <si>
    <t xml:space="preserve">fav held (draw +600)</t>
  </si>
  <si>
    <t xml:space="preserve">Brazil v Morocco</t>
  </si>
  <si>
    <t xml:space="preserve">Brazil</t>
  </si>
  <si>
    <t xml:space="preserve">fav held (draw +270)</t>
  </si>
  <si>
    <t xml:space="preserve">Haiti v Scotland</t>
  </si>
  <si>
    <t xml:space="preserve">Scotland</t>
  </si>
  <si>
    <t xml:space="preserve">-173</t>
  </si>
  <si>
    <t xml:space="preserve">0-1</t>
  </si>
  <si>
    <t xml:space="preserve">Australia v Turkiye</t>
  </si>
  <si>
    <t xml:space="preserve">Turkiye</t>
  </si>
  <si>
    <t xml:space="preserve">upset (AUS +434 won)</t>
  </si>
  <si>
    <t xml:space="preserve">Australia</t>
  </si>
  <si>
    <t xml:space="preserve">Germany v Curacao</t>
  </si>
  <si>
    <t xml:space="preserve">Germany</t>
  </si>
  <si>
    <t xml:space="preserve">-2857</t>
  </si>
  <si>
    <t xml:space="preserve">7-1</t>
  </si>
  <si>
    <t xml:space="preserve">Netherlands v Japan</t>
  </si>
  <si>
    <t xml:space="preserve">Netherlands</t>
  </si>
  <si>
    <t xml:space="preserve">fav held (draw +243)</t>
  </si>
  <si>
    <t xml:space="preserve">2-2</t>
  </si>
  <si>
    <t xml:space="preserve">Ivory Coast v Ecuador</t>
  </si>
  <si>
    <t xml:space="preserve">Ecuador</t>
  </si>
  <si>
    <t xml:space="preserve">upset (CIV +228 won)</t>
  </si>
  <si>
    <t xml:space="preserve">1-0</t>
  </si>
  <si>
    <t xml:space="preserve">Ivory Coast</t>
  </si>
  <si>
    <t xml:space="preserve">Sweden v Tunisia</t>
  </si>
  <si>
    <t xml:space="preserve">Sweden</t>
  </si>
  <si>
    <t xml:space="preserve">-116</t>
  </si>
  <si>
    <t xml:space="preserve">5-1</t>
  </si>
  <si>
    <t xml:space="preserve">Spain v Cape Verde</t>
  </si>
  <si>
    <t xml:space="preserve">Spain</t>
  </si>
  <si>
    <t xml:space="preserve">fav held (draw +1088)</t>
  </si>
  <si>
    <t xml:space="preserve">0-0</t>
  </si>
  <si>
    <t xml:space="preserve">Belgium v Egypt</t>
  </si>
  <si>
    <t xml:space="preserve">Belgium</t>
  </si>
  <si>
    <t xml:space="preserve">fav held (draw +312)</t>
  </si>
  <si>
    <t xml:space="preserve">Saudi Arabia v Uruguay</t>
  </si>
  <si>
    <t xml:space="preserve">Uruguay</t>
  </si>
  <si>
    <t xml:space="preserve">fav held (draw +306)</t>
  </si>
  <si>
    <t xml:space="preserve">Iran v New Zealand</t>
  </si>
  <si>
    <t xml:space="preserve">Iran</t>
  </si>
  <si>
    <t xml:space="preserve">fav held (draw +240)</t>
  </si>
  <si>
    <t xml:space="preserve">France v Senegal</t>
  </si>
  <si>
    <t xml:space="preserve">France</t>
  </si>
  <si>
    <t xml:space="preserve">-208</t>
  </si>
  <si>
    <t xml:space="preserve">3-1</t>
  </si>
  <si>
    <t xml:space="preserve">Iraq v Norway</t>
  </si>
  <si>
    <t xml:space="preserve">Norway</t>
  </si>
  <si>
    <t xml:space="preserve">-467</t>
  </si>
  <si>
    <t xml:space="preserve">1-4</t>
  </si>
  <si>
    <t xml:space="preserve">Argentina v Algeria</t>
  </si>
  <si>
    <t xml:space="preserve">Argentina</t>
  </si>
  <si>
    <t xml:space="preserve">-187</t>
  </si>
  <si>
    <t xml:space="preserve">3-0</t>
  </si>
  <si>
    <t xml:space="preserve">Austria v Jordan</t>
  </si>
  <si>
    <t xml:space="preserve">Austria</t>
  </si>
  <si>
    <t xml:space="preserve">-258</t>
  </si>
  <si>
    <t xml:space="preserve">Portugal v DR Congo</t>
  </si>
  <si>
    <t xml:space="preserve">Portugal</t>
  </si>
  <si>
    <t xml:space="preserve">-342</t>
  </si>
  <si>
    <t xml:space="preserve">England v Croatia</t>
  </si>
  <si>
    <t xml:space="preserve">England</t>
  </si>
  <si>
    <t xml:space="preserve">-139</t>
  </si>
  <si>
    <t xml:space="preserve">4-2</t>
  </si>
  <si>
    <t xml:space="preserve">Ghana v Panama</t>
  </si>
  <si>
    <t xml:space="preserve">Ghana</t>
  </si>
  <si>
    <t xml:space="preserve">+130</t>
  </si>
  <si>
    <t xml:space="preserve">Uzbekistan v Colombia</t>
  </si>
  <si>
    <t xml:space="preserve">Colombia</t>
  </si>
  <si>
    <t xml:space="preserve">-273</t>
  </si>
  <si>
    <t xml:space="preserve">1-3</t>
  </si>
  <si>
    <t xml:space="preserve">R2</t>
  </si>
  <si>
    <t xml:space="preserve">Czechia v South Africa</t>
  </si>
  <si>
    <t xml:space="preserve">Czechia</t>
  </si>
  <si>
    <t xml:space="preserve">fav inferred</t>
  </si>
  <si>
    <t xml:space="preserve">Mexico v South Korea</t>
  </si>
  <si>
    <t xml:space="preserve">+105</t>
  </si>
  <si>
    <t xml:space="preserve">Switzerland v Bosnia</t>
  </si>
  <si>
    <t xml:space="preserve">Canada v Qatar</t>
  </si>
  <si>
    <t xml:space="preserve">6-0</t>
  </si>
  <si>
    <t xml:space="preserve">USA v Australia</t>
  </si>
  <si>
    <t xml:space="preserve">clear</t>
  </si>
  <si>
    <t xml:space="preserve">Scotland v Morocco</t>
  </si>
  <si>
    <t xml:space="preserve">Morocco</t>
  </si>
  <si>
    <t xml:space="preserve">Brazil v Haiti</t>
  </si>
  <si>
    <t xml:space="preserve">Turkiye v Paraguay</t>
  </si>
  <si>
    <t xml:space="preserve">Turkiye fav +105 (odds)</t>
  </si>
  <si>
    <t xml:space="preserve">Paraguay</t>
  </si>
  <si>
    <t xml:space="preserve">Netherlands v Sweden</t>
  </si>
  <si>
    <t xml:space="preserve">Germany v Ivory Coast</t>
  </si>
  <si>
    <t xml:space="preserve">Ecuador v Curacao</t>
  </si>
  <si>
    <t xml:space="preserve">Tunisia v Japan</t>
  </si>
  <si>
    <t xml:space="preserve">Japan</t>
  </si>
  <si>
    <t xml:space="preserve">0-4</t>
  </si>
  <si>
    <t xml:space="preserve">Spain v Saudi Arabia</t>
  </si>
  <si>
    <t xml:space="preserve">4-0</t>
  </si>
  <si>
    <t xml:space="preserve">Belgium v Iran</t>
  </si>
  <si>
    <t xml:space="preserve">Uruguay v Cape Verde</t>
  </si>
  <si>
    <t xml:space="preserve">New Zealand v Egypt</t>
  </si>
  <si>
    <t xml:space="preserve">Egypt</t>
  </si>
  <si>
    <t xml:space="preserve">Argentina v Austria</t>
  </si>
  <si>
    <t xml:space="preserve">France v Iraq</t>
  </si>
  <si>
    <t xml:space="preserve">Norway v Senegal</t>
  </si>
  <si>
    <t xml:space="preserve">Norway fav +122 (Kalshi)</t>
  </si>
  <si>
    <t xml:space="preserve">3-2</t>
  </si>
  <si>
    <t xml:space="preserve">Jordan v Algeria</t>
  </si>
  <si>
    <t xml:space="preserve">Algeria</t>
  </si>
  <si>
    <t xml:space="preserve">1-2</t>
  </si>
  <si>
    <t xml:space="preserve">Portugal v Uzbekistan</t>
  </si>
  <si>
    <t xml:space="preserve">5-0</t>
  </si>
  <si>
    <t xml:space="preserve">England v Ghana</t>
  </si>
  <si>
    <t xml:space="preserve">Panama v Croatia</t>
  </si>
  <si>
    <t xml:space="preserve">Croatia</t>
  </si>
  <si>
    <t xml:space="preserve">Colombia v DR Congo</t>
  </si>
  <si>
    <t xml:space="preserve">R3</t>
  </si>
  <si>
    <t xml:space="preserve">Switzerland v Canada</t>
  </si>
  <si>
    <t xml:space="preserve">Switzerland fav -125 (odds)</t>
  </si>
  <si>
    <t xml:space="preserve">Bosnia v Qatar</t>
  </si>
  <si>
    <t xml:space="preserve">Bosnia</t>
  </si>
  <si>
    <t xml:space="preserve">Bosnia fav (grp-winner odds)</t>
  </si>
  <si>
    <t xml:space="preserve">Qatar</t>
  </si>
  <si>
    <t xml:space="preserve">Scotland v Brazil</t>
  </si>
  <si>
    <t xml:space="preserve">0-3</t>
  </si>
  <si>
    <t xml:space="preserve">Morocco v Haiti</t>
  </si>
  <si>
    <t xml:space="preserve">Czechia v Mexico</t>
  </si>
  <si>
    <t xml:space="preserve">South Africa v South Korea</t>
  </si>
  <si>
    <t xml:space="preserve">South Korea fav -155 (odds)</t>
  </si>
  <si>
    <t xml:space="preserve">South Africa</t>
  </si>
  <si>
    <t xml:space="preserve">Curacao v Ivory Coast</t>
  </si>
  <si>
    <t xml:space="preserve">0-2</t>
  </si>
  <si>
    <t xml:space="preserve">Ecuador v Germany</t>
  </si>
  <si>
    <t xml:space="preserve">Japan v Sweden</t>
  </si>
  <si>
    <t xml:space="preserve">odds-checked; draw = off</t>
  </si>
  <si>
    <t xml:space="preserve">Tunisia v Netherlands</t>
  </si>
  <si>
    <t xml:space="preserve">Turkiye v USA</t>
  </si>
  <si>
    <t xml:space="preserve">USA fav (home; clinched)</t>
  </si>
  <si>
    <t xml:space="preserve">Paraguay v Australia</t>
  </si>
  <si>
    <t xml:space="preserve">Norway v France</t>
  </si>
  <si>
    <t xml:space="preserve">Senegal v Iraq</t>
  </si>
  <si>
    <t xml:space="preserve">Senegal</t>
  </si>
  <si>
    <t xml:space="preserve">Cape Verde v Saudi Arabia</t>
  </si>
  <si>
    <t xml:space="preserve">Saudi Arabia</t>
  </si>
  <si>
    <t xml:space="preserve">Uruguay v Spain</t>
  </si>
  <si>
    <t xml:space="preserve">Egypt v Iran</t>
  </si>
  <si>
    <t xml:space="preserve">New Zealand v Belgium</t>
  </si>
  <si>
    <t xml:space="preserve">1-5</t>
  </si>
  <si>
    <t xml:space="preserve">Panama v England</t>
  </si>
  <si>
    <t xml:space="preserve">Croatia v Ghana</t>
  </si>
  <si>
    <t xml:space="preserve">Colombia v Portugal</t>
  </si>
  <si>
    <t xml:space="preserve">DR Congo v Uzbekistan</t>
  </si>
  <si>
    <t xml:space="preserve">DR Congo</t>
  </si>
  <si>
    <t xml:space="preserve">DR Congo fav -140 (odds)</t>
  </si>
  <si>
    <t xml:space="preserve">Algeria v Austria</t>
  </si>
  <si>
    <t xml:space="preserve">3-3</t>
  </si>
  <si>
    <t xml:space="preserve">Jordan v Argentina</t>
  </si>
  <si>
    <t xml:space="preserve">Accuracy by Matchday (daily + cumulative)</t>
  </si>
  <si>
    <t xml:space="preserve">Live formulas reading the Matches sheet. Full group stage (11-27 Jun).</t>
  </si>
  <si>
    <t xml:space="preserve">Matches</t>
  </si>
  <si>
    <t xml:space="preserve">Day accuracy</t>
  </si>
  <si>
    <t xml:space="preserve">Cum. correct</t>
  </si>
  <si>
    <t xml:space="preserve">Cum. matches</t>
  </si>
  <si>
    <t xml:space="preserve">Cumulative accuracy</t>
  </si>
  <si>
    <t xml:space="preserve">TOTAL</t>
  </si>
  <si>
    <t xml:space="preserve">Knockout Stage — Shortest-Odds Prediction Accuracy (Round of 32)</t>
  </si>
  <si>
    <t xml:space="preserve">Predicted = pre-match favorite (shortest odds / 'to advance' consensus). Three tests per tie: did the favorite QUALIFY (win the tie), win at FULL-TIME (inside 90 mins), and — for ties going past 90 — win in EXTRA TIME/shootout. Add R16/QF/SF/Final rows below (through row 40); metrics recalc automatically.</t>
  </si>
  <si>
    <t xml:space="preserve">Favorite (predicted)</t>
  </si>
  <si>
    <t xml:space="preserve">Score (90 min)</t>
  </si>
  <si>
    <t xml:space="preserve">Decided by</t>
  </si>
  <si>
    <t xml:space="preserve">Advanced</t>
  </si>
  <si>
    <t xml:space="preserve">Went to ET</t>
  </si>
  <si>
    <t xml:space="preserve">Qualify ✓</t>
  </si>
  <si>
    <t xml:space="preserve">FT winner ✓</t>
  </si>
  <si>
    <t xml:space="preserve">ET winner ✓</t>
  </si>
  <si>
    <t xml:space="preserve">Canada v South Africa</t>
  </si>
  <si>
    <t xml:space="preserve">FT</t>
  </si>
  <si>
    <t xml:space="preserve">Brazil v Japan</t>
  </si>
  <si>
    <t xml:space="preserve">Germany v Paraguay</t>
  </si>
  <si>
    <t xml:space="preserve">Penalties</t>
  </si>
  <si>
    <t xml:space="preserve">Netherlands v Morocco</t>
  </si>
  <si>
    <t xml:space="preserve">Norway v Ivory Coast</t>
  </si>
  <si>
    <t xml:space="preserve">France v Sweden</t>
  </si>
  <si>
    <t xml:space="preserve">Mexico v Ecuador</t>
  </si>
  <si>
    <t xml:space="preserve">England v DR Congo</t>
  </si>
  <si>
    <t xml:space="preserve">Belgium v Senegal</t>
  </si>
  <si>
    <t xml:space="preserve">ET goal</t>
  </si>
  <si>
    <t xml:space="preserve">USA v Bosnia &amp; Herz.</t>
  </si>
  <si>
    <t xml:space="preserve">Spain v Austria</t>
  </si>
  <si>
    <t xml:space="preserve">Portugal v Croatia</t>
  </si>
  <si>
    <t xml:space="preserve">Switzerland v Algeria</t>
  </si>
  <si>
    <t xml:space="preserve">Egypt v Australia</t>
  </si>
  <si>
    <t xml:space="preserve">Argentina v Cabo Verde</t>
  </si>
  <si>
    <t xml:space="preserve">Colombia v Ghana</t>
  </si>
  <si>
    <t xml:space="preserve">KNOCKOUT METRICS (Round of 32)</t>
  </si>
  <si>
    <t xml:space="preserve">Metric</t>
  </si>
  <si>
    <t xml:space="preserve">Out of</t>
  </si>
  <si>
    <t xml:space="preserve">Accuracy</t>
  </si>
  <si>
    <t xml:space="preserve">1) Qualifying — favorite advanced (won the tie)</t>
  </si>
  <si>
    <t xml:space="preserve">2) Full-time winner — favorite won inside 90 min</t>
  </si>
  <si>
    <t xml:space="preserve">3) Extra-time winner — favorite won ties that reached ET</t>
  </si>
  <si>
    <t xml:space="preserve">Notes</t>
  </si>
  <si>
    <t xml:space="preserve">• Qualifying upsets (favorite eliminated): Paraguay def. Germany (pens); Morocco def. Netherlands (pens).</t>
  </si>
  <si>
    <t xml:space="preserve">• Full-time metric counts only wins inside 90 min; the 5 ties reaching extra time all count as 'not won at FT'.</t>
  </si>
  <si>
    <t xml:space="preserve">• Of the 5 ET ties: Belgium &amp; Argentina won via an ET goal; Egypt won on penalties; Germany &amp; Netherlands lost on penalties.</t>
  </si>
  <si>
    <t xml:space="preserve">• Favorites set by odds / 'to advance' consensus (FanDuel, BetMGM, Fox). Group-stage tabs now cover the full group stage (11-27 Jun); close ties verified vs pre-match odds.</t>
  </si>
  <si>
    <t xml:space="preserve">Odds &amp; Scoring — devigged market probabilities and probabilistic accuracy</t>
  </si>
  <si>
    <t xml:space="preserve">Enter full 1X2 DECIMAL odds (Home/Draw/Away) from a SINGLE source per match (ideally the closing line). Each match is devigged independently (proportional normalisation). Metrics then populate automatically. Only 5 rows below carry genuine single-source 3-way prices; the rest are blank pending a real closing-odds feed.</t>
  </si>
  <si>
    <t xml:space="preserve">SCORING SUMMARY (live; over rows with odds entered)</t>
  </si>
  <si>
    <t xml:space="preserve">Matches with full 1X2 entered</t>
  </si>
  <si>
    <t xml:space="preserve">Market mean RPS (lower=better)</t>
  </si>
  <si>
    <t xml:space="preserve">Market mean Brier (0-2)</t>
  </si>
  <si>
    <t xml:space="preserve">Market mean log-loss</t>
  </si>
  <si>
    <t xml:space="preserve">Favourite-pick mean RPS</t>
  </si>
  <si>
    <t xml:space="preserve">Uniform (1/3) mean RPS (ref)</t>
  </si>
  <si>
    <t xml:space="preserve">RPS skill score: fav-pick vs market</t>
  </si>
  <si>
    <t xml:space="preserve">RPS skill score: market vs uniform</t>
  </si>
  <si>
    <t xml:space="preserve">Back-favourite ROI (flat 1u, at own price)</t>
  </si>
  <si>
    <t xml:space="preserve">Mean CLV (needs entry odds in col T)</t>
  </si>
  <si>
    <t xml:space="preserve">Match (Home v Away)</t>
  </si>
  <si>
    <t xml:space="preserve">90' score</t>
  </si>
  <si>
    <t xml:space="preserve">Actual</t>
  </si>
  <si>
    <t xml:space="preserve">Home</t>
  </si>
  <si>
    <t xml:space="preserve">Away</t>
  </si>
  <si>
    <t xml:space="preserve">Source</t>
  </si>
  <si>
    <t xml:space="preserve">Overround</t>
  </si>
  <si>
    <t xml:space="preserve">P(H)</t>
  </si>
  <si>
    <t xml:space="preserve">P(D)</t>
  </si>
  <si>
    <t xml:space="preserve">P(A)</t>
  </si>
  <si>
    <t xml:space="preserve">Mkt RPS</t>
  </si>
  <si>
    <t xml:space="preserve">Mkt Brier</t>
  </si>
  <si>
    <t xml:space="preserve">Mkt LogL</t>
  </si>
  <si>
    <t xml:space="preserve">Fav pick</t>
  </si>
  <si>
    <t xml:space="preserve">Fav RPS</t>
  </si>
  <si>
    <t xml:space="preserve">Back-fav P/L</t>
  </si>
  <si>
    <t xml:space="preserve">Unif RPS</t>
  </si>
  <si>
    <t xml:space="preserve">Entry odds</t>
  </si>
  <si>
    <t xml:space="preserve">CLV %</t>
  </si>
  <si>
    <t xml:space="preserve">best-avail (illustrative)</t>
  </si>
  <si>
    <t xml:space="preserve">Kalshi (close)</t>
  </si>
  <si>
    <t xml:space="preserve">VegasOdds</t>
  </si>
  <si>
    <t xml:space="preserve">SportyTrader bk1</t>
  </si>
  <si>
    <t xml:space="preserve">• METHOD: implied prob = 1/decimal odds; devig by proportional normalisation (divide each leg by the overround) so P(H)+P(D)+P(A)=1.</t>
  </si>
  <si>
    <t xml:space="preserve">• RPS uses ordered outcomes [H,D,A]: RPS = 0.5*[(pH-eH)^2 + ((pH+pD)-(eH+eD))^2]. Brier = sum of squared errors over 3 classes (0-2). Log-loss = -ln(prob of actual).</t>
  </si>
  <si>
    <t xml:space="preserve">• Actual (H/D/A) auto-derives from the 90' score; extra-time/penalty ties count as Draw for 1X2 settlement (as they should).</t>
  </si>
  <si>
    <t xml:space="preserve">• Skill score = 1 - mean RPS(model)/mean RPS(reference). Fav-pick is a categorical forecast (prob 1 on shortest-odds outcome). Positive = model beats the reference.</t>
  </si>
  <si>
    <t xml:space="preserve">• Back-fav ROI: flat 1-unit stake on the shortest-odds outcome at its own price. CLV%: enter YOUR entry decimal odds in col T; closing = the odds in E/F/G (so E/F/G must be closing lines).</t>
  </si>
  <si>
    <t xml:space="preserve">• DATA GAP: only the 5 rows with a Source have genuine single-book 3-way prices. Fill the remaining rows from a consistent closing-odds source to make the aggregate metrics valid tournament-wide.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</si>
</sst>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0.0%"/>
    <numFmt numFmtId="167" formatCode="dd\ mmm\ yyyy"/>
    <numFmt numFmtId="168" formatCode="@"/>
    <numFmt numFmtId="169" formatCode="General"/>
    <numFmt numFmtId="170" formatCode="dd\ mmm"/>
    <numFmt numFmtId="171" formatCode="0.0000"/>
    <numFmt numFmtId="172" formatCode="0.000"/>
    <numFmt numFmtId="173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6EFCE"/>
      </patternFill>
    </fill>
    <fill>
      <patternFill patternType="solid">
        <fgColor rgb="FF2E5496"/>
        <bgColor rgb="FF1F3864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6" min="2" style="1" width="12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5" customFormat="false" ht="15" hidden="false" customHeight="true" outlineLevel="0" collapsed="false">
      <c r="A5" s="4" t="s">
        <v>2</v>
      </c>
      <c r="B5" s="5" t="n">
        <f aca="false">COUNTA(Matches!$C$5:$C$500)</f>
        <v>72</v>
      </c>
    </row>
    <row r="6" customFormat="false" ht="15" hidden="false" customHeight="true" outlineLevel="0" collapsed="false">
      <c r="A6" s="4" t="s">
        <v>3</v>
      </c>
      <c r="B6" s="5" t="n">
        <f aca="false">SUM(Matches!$H$5:$H$500)</f>
        <v>45</v>
      </c>
    </row>
    <row r="7" customFormat="false" ht="15" hidden="false" customHeight="true" outlineLevel="0" collapsed="false">
      <c r="A7" s="4" t="s">
        <v>4</v>
      </c>
      <c r="B7" s="5" t="n">
        <f aca="false">B5-B6</f>
        <v>27</v>
      </c>
    </row>
    <row r="8" customFormat="false" ht="15" hidden="false" customHeight="true" outlineLevel="0" collapsed="false">
      <c r="A8" s="6" t="s">
        <v>5</v>
      </c>
      <c r="B8" s="7" t="n">
        <f aca="false">IF(B5=0,"",B6/B5)</f>
        <v>0.625</v>
      </c>
    </row>
    <row r="9" customFormat="false" ht="15" hidden="false" customHeight="true" outlineLevel="0" collapsed="false">
      <c r="A9" s="4" t="s">
        <v>6</v>
      </c>
      <c r="B9" s="5" t="n">
        <f aca="false">COUNTIF(Matches!$G$5:$G$500,"Draw")</f>
        <v>20</v>
      </c>
    </row>
    <row r="10" customFormat="false" ht="15" hidden="false" customHeight="true" outlineLevel="0" collapsed="false">
      <c r="A10" s="4" t="s">
        <v>7</v>
      </c>
      <c r="B10" s="5" t="n">
        <f aca="false">B7-B9</f>
        <v>7</v>
      </c>
    </row>
    <row r="13" customFormat="false" ht="15" hidden="false" customHeight="true" outlineLevel="0" collapsed="false">
      <c r="A13" s="8" t="s">
        <v>8</v>
      </c>
    </row>
    <row r="14" customFormat="false" ht="15" hidden="false" customHeight="true" outlineLevel="0" collapsed="false">
      <c r="A14" s="9" t="s">
        <v>9</v>
      </c>
      <c r="B14" s="9"/>
      <c r="C14" s="9"/>
      <c r="D14" s="9"/>
      <c r="E14" s="9"/>
      <c r="F14" s="9"/>
    </row>
    <row r="15" customFormat="false" ht="15" hidden="false" customHeight="true" outlineLevel="0" collapsed="false">
      <c r="A15" s="9"/>
      <c r="B15" s="9"/>
      <c r="C15" s="9"/>
      <c r="D15" s="9"/>
      <c r="E15" s="9"/>
      <c r="F15" s="9"/>
    </row>
    <row r="16" customFormat="false" ht="15" hidden="false" customHeight="true" outlineLevel="0" collapsed="false">
      <c r="A16" s="9"/>
      <c r="B16" s="9"/>
      <c r="C16" s="9"/>
      <c r="D16" s="9"/>
      <c r="E16" s="9"/>
      <c r="F16" s="9"/>
    </row>
    <row r="17" customFormat="false" ht="15" hidden="false" customHeight="true" outlineLevel="0" collapsed="false">
      <c r="A17" s="9"/>
      <c r="B17" s="9"/>
      <c r="C17" s="9"/>
      <c r="D17" s="9"/>
      <c r="E17" s="9"/>
      <c r="F17" s="9"/>
    </row>
    <row r="18" customFormat="false" ht="15" hidden="false" customHeight="true" outlineLevel="0" collapsed="false">
      <c r="A18" s="9"/>
      <c r="B18" s="9"/>
      <c r="C18" s="9"/>
      <c r="D18" s="9"/>
      <c r="E18" s="9"/>
      <c r="F18" s="9"/>
    </row>
    <row r="19" customFormat="false" ht="15" hidden="false" customHeight="true" outlineLevel="0" collapsed="false">
      <c r="A19" s="9"/>
      <c r="B19" s="9"/>
      <c r="C19" s="9"/>
      <c r="D19" s="9"/>
      <c r="E19" s="9"/>
      <c r="F19" s="9"/>
    </row>
    <row r="21" customFormat="false" ht="15" hidden="false" customHeight="true" outlineLevel="0" collapsed="false">
      <c r="A21" s="8" t="s">
        <v>10</v>
      </c>
    </row>
    <row r="22" customFormat="false" ht="15" hidden="false" customHeight="true" outlineLevel="0" collapsed="false">
      <c r="A22" s="9" t="s">
        <v>11</v>
      </c>
      <c r="B22" s="9"/>
      <c r="C22" s="9"/>
      <c r="D22" s="9"/>
      <c r="E22" s="9"/>
      <c r="F22" s="9"/>
    </row>
    <row r="23" customFormat="false" ht="15" hidden="false" customHeight="true" outlineLevel="0" collapsed="false">
      <c r="A23" s="9"/>
      <c r="B23" s="9"/>
      <c r="C23" s="9"/>
      <c r="D23" s="9"/>
      <c r="E23" s="9"/>
      <c r="F23" s="9"/>
    </row>
    <row r="24" customFormat="false" ht="15" hidden="false" customHeight="true" outlineLevel="0" collapsed="false">
      <c r="A24" s="9"/>
      <c r="B24" s="9"/>
      <c r="C24" s="9"/>
      <c r="D24" s="9"/>
      <c r="E24" s="9"/>
      <c r="F24" s="9"/>
    </row>
    <row r="25" customFormat="false" ht="15" hidden="false" customHeight="true" outlineLevel="0" collapsed="false">
      <c r="A25" s="9"/>
      <c r="B25" s="9"/>
      <c r="C25" s="9"/>
      <c r="D25" s="9"/>
      <c r="E25" s="9"/>
      <c r="F25" s="9"/>
    </row>
    <row r="26" customFormat="false" ht="15" hidden="false" customHeight="true" outlineLevel="0" collapsed="false">
      <c r="A26" s="9"/>
      <c r="B26" s="9"/>
      <c r="C26" s="9"/>
      <c r="D26" s="9"/>
      <c r="E26" s="9"/>
      <c r="F26" s="9"/>
    </row>
  </sheetData>
  <mergeCells count="2">
    <mergeCell ref="A14:F19"/>
    <mergeCell ref="A22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7"/>
    <col collapsed="false" customWidth="true" hidden="false" outlineLevel="0" max="3" min="3" style="1" width="26"/>
    <col collapsed="false" customWidth="true" hidden="false" outlineLevel="0" max="5" min="4" style="1" width="22"/>
    <col collapsed="false" customWidth="true" hidden="false" outlineLevel="0" max="6" min="6" style="1" width="8"/>
    <col collapsed="false" customWidth="true" hidden="false" outlineLevel="0" max="7" min="7" style="1" width="15"/>
    <col collapsed="false" customWidth="true" hidden="false" outlineLevel="0" max="8" min="8" style="1" width="9"/>
    <col collapsed="false" customWidth="true" hidden="false" outlineLevel="0" max="9" min="9" style="1" width="17"/>
  </cols>
  <sheetData>
    <row r="1" customFormat="false" ht="17.25" hidden="false" customHeight="true" outlineLevel="0" collapsed="false">
      <c r="A1" s="2" t="s">
        <v>12</v>
      </c>
    </row>
    <row r="2" customFormat="false" ht="15" hidden="false" customHeight="true" outlineLevel="0" collapsed="false">
      <c r="A2" s="3" t="s">
        <v>13</v>
      </c>
    </row>
    <row r="4" customFormat="false" ht="15" hidden="false" customHeight="true" outlineLevel="0" collapsed="false">
      <c r="A4" s="10" t="s">
        <v>14</v>
      </c>
      <c r="B4" s="10" t="s">
        <v>15</v>
      </c>
      <c r="C4" s="10" t="s">
        <v>16</v>
      </c>
      <c r="D4" s="10" t="s">
        <v>17</v>
      </c>
      <c r="E4" s="10" t="s">
        <v>18</v>
      </c>
      <c r="F4" s="10" t="s">
        <v>19</v>
      </c>
      <c r="G4" s="10" t="s">
        <v>20</v>
      </c>
      <c r="H4" s="10" t="s">
        <v>21</v>
      </c>
      <c r="I4" s="10" t="s">
        <v>22</v>
      </c>
    </row>
    <row r="5" customFormat="false" ht="15" hidden="false" customHeight="true" outlineLevel="0" collapsed="false">
      <c r="A5" s="11" t="n">
        <v>46184</v>
      </c>
      <c r="B5" s="12" t="s">
        <v>23</v>
      </c>
      <c r="C5" s="13" t="s">
        <v>24</v>
      </c>
      <c r="D5" s="13" t="s">
        <v>25</v>
      </c>
      <c r="E5" s="13" t="s">
        <v>26</v>
      </c>
      <c r="F5" s="14" t="s">
        <v>27</v>
      </c>
      <c r="G5" s="12" t="s">
        <v>25</v>
      </c>
      <c r="H5" s="15" t="n">
        <f aca="false">IF($D5=$G5,1,0)</f>
        <v>1</v>
      </c>
      <c r="I5" s="12" t="str">
        <f aca="false">IF($H5=1,"Correct",IF($G5="Draw","Draw (fav held)","Upset"))</f>
        <v>Correct</v>
      </c>
    </row>
    <row r="6" customFormat="false" ht="15" hidden="false" customHeight="true" outlineLevel="0" collapsed="false">
      <c r="A6" s="11" t="n">
        <v>46184</v>
      </c>
      <c r="B6" s="12" t="s">
        <v>23</v>
      </c>
      <c r="C6" s="13" t="s">
        <v>28</v>
      </c>
      <c r="D6" s="13" t="s">
        <v>29</v>
      </c>
      <c r="E6" s="13" t="s">
        <v>30</v>
      </c>
      <c r="F6" s="14" t="s">
        <v>31</v>
      </c>
      <c r="G6" s="12" t="s">
        <v>29</v>
      </c>
      <c r="H6" s="15" t="n">
        <f aca="false">IF($D6=$G6,1,0)</f>
        <v>1</v>
      </c>
      <c r="I6" s="12" t="str">
        <f aca="false">IF($H6=1,"Correct",IF($G6="Draw","Draw (fav held)","Upset"))</f>
        <v>Correct</v>
      </c>
    </row>
    <row r="7" customFormat="false" ht="15" hidden="false" customHeight="true" outlineLevel="0" collapsed="false">
      <c r="A7" s="11" t="n">
        <v>46185</v>
      </c>
      <c r="B7" s="12" t="s">
        <v>23</v>
      </c>
      <c r="C7" s="13" t="s">
        <v>32</v>
      </c>
      <c r="D7" s="13" t="s">
        <v>33</v>
      </c>
      <c r="E7" s="13" t="s">
        <v>34</v>
      </c>
      <c r="F7" s="14" t="s">
        <v>35</v>
      </c>
      <c r="G7" s="12" t="s">
        <v>36</v>
      </c>
      <c r="H7" s="15" t="n">
        <f aca="false">IF($D7=$G7,1,0)</f>
        <v>0</v>
      </c>
      <c r="I7" s="12" t="str">
        <f aca="false">IF($H7=1,"Correct",IF($G7="Draw","Draw (fav held)","Upset"))</f>
        <v>Draw (fav held)</v>
      </c>
    </row>
    <row r="8" customFormat="false" ht="15" hidden="false" customHeight="true" outlineLevel="0" collapsed="false">
      <c r="A8" s="11" t="n">
        <v>46185</v>
      </c>
      <c r="B8" s="12" t="s">
        <v>23</v>
      </c>
      <c r="C8" s="13" t="s">
        <v>37</v>
      </c>
      <c r="D8" s="13" t="s">
        <v>38</v>
      </c>
      <c r="E8" s="13" t="s">
        <v>39</v>
      </c>
      <c r="F8" s="14" t="s">
        <v>40</v>
      </c>
      <c r="G8" s="12" t="s">
        <v>38</v>
      </c>
      <c r="H8" s="15" t="n">
        <f aca="false">IF($D8=$G8,1,0)</f>
        <v>1</v>
      </c>
      <c r="I8" s="12" t="str">
        <f aca="false">IF($H8=1,"Correct",IF($G8="Draw","Draw (fav held)","Upset"))</f>
        <v>Correct</v>
      </c>
    </row>
    <row r="9" customFormat="false" ht="15" hidden="false" customHeight="true" outlineLevel="0" collapsed="false">
      <c r="A9" s="11" t="n">
        <v>46186</v>
      </c>
      <c r="B9" s="12" t="s">
        <v>23</v>
      </c>
      <c r="C9" s="13" t="s">
        <v>41</v>
      </c>
      <c r="D9" s="13" t="s">
        <v>42</v>
      </c>
      <c r="E9" s="13" t="s">
        <v>43</v>
      </c>
      <c r="F9" s="14" t="s">
        <v>35</v>
      </c>
      <c r="G9" s="12" t="s">
        <v>36</v>
      </c>
      <c r="H9" s="15" t="n">
        <f aca="false">IF($D9=$G9,1,0)</f>
        <v>0</v>
      </c>
      <c r="I9" s="12" t="str">
        <f aca="false">IF($H9=1,"Correct",IF($G9="Draw","Draw (fav held)","Upset"))</f>
        <v>Draw (fav held)</v>
      </c>
    </row>
    <row r="10" customFormat="false" ht="15" hidden="false" customHeight="true" outlineLevel="0" collapsed="false">
      <c r="A10" s="11" t="n">
        <v>46186</v>
      </c>
      <c r="B10" s="12" t="s">
        <v>23</v>
      </c>
      <c r="C10" s="13" t="s">
        <v>44</v>
      </c>
      <c r="D10" s="13" t="s">
        <v>45</v>
      </c>
      <c r="E10" s="13" t="s">
        <v>46</v>
      </c>
      <c r="F10" s="14" t="s">
        <v>35</v>
      </c>
      <c r="G10" s="12" t="s">
        <v>36</v>
      </c>
      <c r="H10" s="15" t="n">
        <f aca="false">IF($D10=$G10,1,0)</f>
        <v>0</v>
      </c>
      <c r="I10" s="12" t="str">
        <f aca="false">IF($H10=1,"Correct",IF($G10="Draw","Draw (fav held)","Upset"))</f>
        <v>Draw (fav held)</v>
      </c>
    </row>
    <row r="11" customFormat="false" ht="15" hidden="false" customHeight="true" outlineLevel="0" collapsed="false">
      <c r="A11" s="11" t="n">
        <v>46186</v>
      </c>
      <c r="B11" s="12" t="s">
        <v>23</v>
      </c>
      <c r="C11" s="13" t="s">
        <v>47</v>
      </c>
      <c r="D11" s="13" t="s">
        <v>48</v>
      </c>
      <c r="E11" s="13" t="s">
        <v>49</v>
      </c>
      <c r="F11" s="14" t="s">
        <v>50</v>
      </c>
      <c r="G11" s="12" t="s">
        <v>48</v>
      </c>
      <c r="H11" s="15" t="n">
        <f aca="false">IF($D11=$G11,1,0)</f>
        <v>1</v>
      </c>
      <c r="I11" s="12" t="str">
        <f aca="false">IF($H11=1,"Correct",IF($G11="Draw","Draw (fav held)","Upset"))</f>
        <v>Correct</v>
      </c>
    </row>
    <row r="12" customFormat="false" ht="15" hidden="false" customHeight="true" outlineLevel="0" collapsed="false">
      <c r="A12" s="11" t="n">
        <v>46186</v>
      </c>
      <c r="B12" s="12" t="s">
        <v>23</v>
      </c>
      <c r="C12" s="13" t="s">
        <v>51</v>
      </c>
      <c r="D12" s="13" t="s">
        <v>52</v>
      </c>
      <c r="E12" s="13" t="s">
        <v>53</v>
      </c>
      <c r="F12" s="14" t="s">
        <v>27</v>
      </c>
      <c r="G12" s="12" t="s">
        <v>54</v>
      </c>
      <c r="H12" s="15" t="n">
        <f aca="false">IF($D12=$G12,1,0)</f>
        <v>0</v>
      </c>
      <c r="I12" s="12" t="str">
        <f aca="false">IF($H12=1,"Correct",IF($G12="Draw","Draw (fav held)","Upset"))</f>
        <v>Upset</v>
      </c>
    </row>
    <row r="13" customFormat="false" ht="15" hidden="false" customHeight="true" outlineLevel="0" collapsed="false">
      <c r="A13" s="11" t="n">
        <v>46187</v>
      </c>
      <c r="B13" s="12" t="s">
        <v>23</v>
      </c>
      <c r="C13" s="13" t="s">
        <v>55</v>
      </c>
      <c r="D13" s="13" t="s">
        <v>56</v>
      </c>
      <c r="E13" s="13" t="s">
        <v>57</v>
      </c>
      <c r="F13" s="14" t="s">
        <v>58</v>
      </c>
      <c r="G13" s="12" t="s">
        <v>56</v>
      </c>
      <c r="H13" s="15" t="n">
        <f aca="false">IF($D13=$G13,1,0)</f>
        <v>1</v>
      </c>
      <c r="I13" s="12" t="str">
        <f aca="false">IF($H13=1,"Correct",IF($G13="Draw","Draw (fav held)","Upset"))</f>
        <v>Correct</v>
      </c>
    </row>
    <row r="14" customFormat="false" ht="15" hidden="false" customHeight="true" outlineLevel="0" collapsed="false">
      <c r="A14" s="11" t="n">
        <v>46187</v>
      </c>
      <c r="B14" s="12" t="s">
        <v>23</v>
      </c>
      <c r="C14" s="13" t="s">
        <v>59</v>
      </c>
      <c r="D14" s="13" t="s">
        <v>60</v>
      </c>
      <c r="E14" s="13" t="s">
        <v>61</v>
      </c>
      <c r="F14" s="14" t="s">
        <v>62</v>
      </c>
      <c r="G14" s="12" t="s">
        <v>36</v>
      </c>
      <c r="H14" s="15" t="n">
        <f aca="false">IF($D14=$G14,1,0)</f>
        <v>0</v>
      </c>
      <c r="I14" s="12" t="str">
        <f aca="false">IF($H14=1,"Correct",IF($G14="Draw","Draw (fav held)","Upset"))</f>
        <v>Draw (fav held)</v>
      </c>
    </row>
    <row r="15" customFormat="false" ht="15" hidden="false" customHeight="true" outlineLevel="0" collapsed="false">
      <c r="A15" s="11" t="n">
        <v>46187</v>
      </c>
      <c r="B15" s="12" t="s">
        <v>23</v>
      </c>
      <c r="C15" s="13" t="s">
        <v>63</v>
      </c>
      <c r="D15" s="13" t="s">
        <v>64</v>
      </c>
      <c r="E15" s="13" t="s">
        <v>65</v>
      </c>
      <c r="F15" s="14" t="s">
        <v>66</v>
      </c>
      <c r="G15" s="12" t="s">
        <v>67</v>
      </c>
      <c r="H15" s="15" t="n">
        <f aca="false">IF($D15=$G15,1,0)</f>
        <v>0</v>
      </c>
      <c r="I15" s="12" t="str">
        <f aca="false">IF($H15=1,"Correct",IF($G15="Draw","Draw (fav held)","Upset"))</f>
        <v>Upset</v>
      </c>
    </row>
    <row r="16" customFormat="false" ht="15" hidden="false" customHeight="true" outlineLevel="0" collapsed="false">
      <c r="A16" s="11" t="n">
        <v>46187</v>
      </c>
      <c r="B16" s="12" t="s">
        <v>23</v>
      </c>
      <c r="C16" s="13" t="s">
        <v>68</v>
      </c>
      <c r="D16" s="13" t="s">
        <v>69</v>
      </c>
      <c r="E16" s="13" t="s">
        <v>70</v>
      </c>
      <c r="F16" s="14" t="s">
        <v>71</v>
      </c>
      <c r="G16" s="12" t="s">
        <v>69</v>
      </c>
      <c r="H16" s="15" t="n">
        <f aca="false">IF($D16=$G16,1,0)</f>
        <v>1</v>
      </c>
      <c r="I16" s="12" t="str">
        <f aca="false">IF($H16=1,"Correct",IF($G16="Draw","Draw (fav held)","Upset"))</f>
        <v>Correct</v>
      </c>
    </row>
    <row r="17" customFormat="false" ht="15" hidden="false" customHeight="true" outlineLevel="0" collapsed="false">
      <c r="A17" s="11" t="n">
        <v>46188</v>
      </c>
      <c r="B17" s="12" t="s">
        <v>23</v>
      </c>
      <c r="C17" s="13" t="s">
        <v>72</v>
      </c>
      <c r="D17" s="13" t="s">
        <v>73</v>
      </c>
      <c r="E17" s="13" t="s">
        <v>74</v>
      </c>
      <c r="F17" s="14" t="s">
        <v>75</v>
      </c>
      <c r="G17" s="12" t="s">
        <v>36</v>
      </c>
      <c r="H17" s="15" t="n">
        <f aca="false">IF($D17=$G17,1,0)</f>
        <v>0</v>
      </c>
      <c r="I17" s="12" t="str">
        <f aca="false">IF($H17=1,"Correct",IF($G17="Draw","Draw (fav held)","Upset"))</f>
        <v>Draw (fav held)</v>
      </c>
    </row>
    <row r="18" customFormat="false" ht="15" hidden="false" customHeight="true" outlineLevel="0" collapsed="false">
      <c r="A18" s="11" t="n">
        <v>46188</v>
      </c>
      <c r="B18" s="12" t="s">
        <v>23</v>
      </c>
      <c r="C18" s="13" t="s">
        <v>76</v>
      </c>
      <c r="D18" s="13" t="s">
        <v>77</v>
      </c>
      <c r="E18" s="13" t="s">
        <v>78</v>
      </c>
      <c r="F18" s="14" t="s">
        <v>35</v>
      </c>
      <c r="G18" s="12" t="s">
        <v>36</v>
      </c>
      <c r="H18" s="15" t="n">
        <f aca="false">IF($D18=$G18,1,0)</f>
        <v>0</v>
      </c>
      <c r="I18" s="12" t="str">
        <f aca="false">IF($H18=1,"Correct",IF($G18="Draw","Draw (fav held)","Upset"))</f>
        <v>Draw (fav held)</v>
      </c>
    </row>
    <row r="19" customFormat="false" ht="15" hidden="false" customHeight="true" outlineLevel="0" collapsed="false">
      <c r="A19" s="11" t="n">
        <v>46188</v>
      </c>
      <c r="B19" s="12" t="s">
        <v>23</v>
      </c>
      <c r="C19" s="13" t="s">
        <v>79</v>
      </c>
      <c r="D19" s="13" t="s">
        <v>80</v>
      </c>
      <c r="E19" s="13" t="s">
        <v>81</v>
      </c>
      <c r="F19" s="14" t="s">
        <v>35</v>
      </c>
      <c r="G19" s="12" t="s">
        <v>36</v>
      </c>
      <c r="H19" s="15" t="n">
        <f aca="false">IF($D19=$G19,1,0)</f>
        <v>0</v>
      </c>
      <c r="I19" s="12" t="str">
        <f aca="false">IF($H19=1,"Correct",IF($G19="Draw","Draw (fav held)","Upset"))</f>
        <v>Draw (fav held)</v>
      </c>
    </row>
    <row r="20" customFormat="false" ht="15" hidden="false" customHeight="true" outlineLevel="0" collapsed="false">
      <c r="A20" s="11" t="n">
        <v>46188</v>
      </c>
      <c r="B20" s="12" t="s">
        <v>23</v>
      </c>
      <c r="C20" s="13" t="s">
        <v>82</v>
      </c>
      <c r="D20" s="13" t="s">
        <v>83</v>
      </c>
      <c r="E20" s="13" t="s">
        <v>84</v>
      </c>
      <c r="F20" s="14" t="s">
        <v>62</v>
      </c>
      <c r="G20" s="12" t="s">
        <v>36</v>
      </c>
      <c r="H20" s="15" t="n">
        <f aca="false">IF($D20=$G20,1,0)</f>
        <v>0</v>
      </c>
      <c r="I20" s="12" t="str">
        <f aca="false">IF($H20=1,"Correct",IF($G20="Draw","Draw (fav held)","Upset"))</f>
        <v>Draw (fav held)</v>
      </c>
    </row>
    <row r="21" customFormat="false" ht="15" hidden="false" customHeight="true" outlineLevel="0" collapsed="false">
      <c r="A21" s="11" t="n">
        <v>46189</v>
      </c>
      <c r="B21" s="12" t="s">
        <v>23</v>
      </c>
      <c r="C21" s="13" t="s">
        <v>85</v>
      </c>
      <c r="D21" s="13" t="s">
        <v>86</v>
      </c>
      <c r="E21" s="13" t="s">
        <v>87</v>
      </c>
      <c r="F21" s="14" t="s">
        <v>88</v>
      </c>
      <c r="G21" s="12" t="s">
        <v>86</v>
      </c>
      <c r="H21" s="15" t="n">
        <f aca="false">IF($D21=$G21,1,0)</f>
        <v>1</v>
      </c>
      <c r="I21" s="12" t="str">
        <f aca="false">IF($H21=1,"Correct",IF($G21="Draw","Draw (fav held)","Upset"))</f>
        <v>Correct</v>
      </c>
    </row>
    <row r="22" customFormat="false" ht="15" hidden="false" customHeight="true" outlineLevel="0" collapsed="false">
      <c r="A22" s="11" t="n">
        <v>46189</v>
      </c>
      <c r="B22" s="12" t="s">
        <v>23</v>
      </c>
      <c r="C22" s="13" t="s">
        <v>89</v>
      </c>
      <c r="D22" s="13" t="s">
        <v>90</v>
      </c>
      <c r="E22" s="13" t="s">
        <v>91</v>
      </c>
      <c r="F22" s="14" t="s">
        <v>92</v>
      </c>
      <c r="G22" s="12" t="s">
        <v>90</v>
      </c>
      <c r="H22" s="15" t="n">
        <f aca="false">IF($D22=$G22,1,0)</f>
        <v>1</v>
      </c>
      <c r="I22" s="12" t="str">
        <f aca="false">IF($H22=1,"Correct",IF($G22="Draw","Draw (fav held)","Upset"))</f>
        <v>Correct</v>
      </c>
    </row>
    <row r="23" customFormat="false" ht="15" hidden="false" customHeight="true" outlineLevel="0" collapsed="false">
      <c r="A23" s="11" t="n">
        <v>46189</v>
      </c>
      <c r="B23" s="12" t="s">
        <v>23</v>
      </c>
      <c r="C23" s="13" t="s">
        <v>93</v>
      </c>
      <c r="D23" s="13" t="s">
        <v>94</v>
      </c>
      <c r="E23" s="13" t="s">
        <v>95</v>
      </c>
      <c r="F23" s="14" t="s">
        <v>96</v>
      </c>
      <c r="G23" s="12" t="s">
        <v>94</v>
      </c>
      <c r="H23" s="15" t="n">
        <f aca="false">IF($D23=$G23,1,0)</f>
        <v>1</v>
      </c>
      <c r="I23" s="12" t="str">
        <f aca="false">IF($H23=1,"Correct",IF($G23="Draw","Draw (fav held)","Upset"))</f>
        <v>Correct</v>
      </c>
    </row>
    <row r="24" customFormat="false" ht="15" hidden="false" customHeight="true" outlineLevel="0" collapsed="false">
      <c r="A24" s="11" t="n">
        <v>46189</v>
      </c>
      <c r="B24" s="12" t="s">
        <v>23</v>
      </c>
      <c r="C24" s="13" t="s">
        <v>97</v>
      </c>
      <c r="D24" s="13" t="s">
        <v>98</v>
      </c>
      <c r="E24" s="13" t="s">
        <v>99</v>
      </c>
      <c r="F24" s="14" t="s">
        <v>88</v>
      </c>
      <c r="G24" s="12" t="s">
        <v>98</v>
      </c>
      <c r="H24" s="15" t="n">
        <f aca="false">IF($D24=$G24,1,0)</f>
        <v>1</v>
      </c>
      <c r="I24" s="12" t="str">
        <f aca="false">IF($H24=1,"Correct",IF($G24="Draw","Draw (fav held)","Upset"))</f>
        <v>Correct</v>
      </c>
    </row>
    <row r="25" customFormat="false" ht="15" hidden="false" customHeight="true" outlineLevel="0" collapsed="false">
      <c r="A25" s="11" t="n">
        <v>46190</v>
      </c>
      <c r="B25" s="12" t="s">
        <v>23</v>
      </c>
      <c r="C25" s="13" t="s">
        <v>100</v>
      </c>
      <c r="D25" s="13" t="s">
        <v>101</v>
      </c>
      <c r="E25" s="13" t="s">
        <v>102</v>
      </c>
      <c r="F25" s="14" t="s">
        <v>35</v>
      </c>
      <c r="G25" s="12" t="s">
        <v>36</v>
      </c>
      <c r="H25" s="15" t="n">
        <f aca="false">IF($D25=$G25,1,0)</f>
        <v>0</v>
      </c>
      <c r="I25" s="12" t="str">
        <f aca="false">IF($H25=1,"Correct",IF($G25="Draw","Draw (fav held)","Upset"))</f>
        <v>Draw (fav held)</v>
      </c>
    </row>
    <row r="26" customFormat="false" ht="15" hidden="false" customHeight="true" outlineLevel="0" collapsed="false">
      <c r="A26" s="11" t="n">
        <v>46190</v>
      </c>
      <c r="B26" s="12" t="s">
        <v>23</v>
      </c>
      <c r="C26" s="13" t="s">
        <v>103</v>
      </c>
      <c r="D26" s="13" t="s">
        <v>104</v>
      </c>
      <c r="E26" s="13" t="s">
        <v>105</v>
      </c>
      <c r="F26" s="14" t="s">
        <v>106</v>
      </c>
      <c r="G26" s="12" t="s">
        <v>104</v>
      </c>
      <c r="H26" s="15" t="n">
        <f aca="false">IF($D26=$G26,1,0)</f>
        <v>1</v>
      </c>
      <c r="I26" s="12" t="str">
        <f aca="false">IF($H26=1,"Correct",IF($G26="Draw","Draw (fav held)","Upset"))</f>
        <v>Correct</v>
      </c>
    </row>
    <row r="27" customFormat="false" ht="15" hidden="false" customHeight="true" outlineLevel="0" collapsed="false">
      <c r="A27" s="11" t="n">
        <v>46190</v>
      </c>
      <c r="B27" s="12" t="s">
        <v>23</v>
      </c>
      <c r="C27" s="13" t="s">
        <v>107</v>
      </c>
      <c r="D27" s="13" t="s">
        <v>108</v>
      </c>
      <c r="E27" s="13" t="s">
        <v>109</v>
      </c>
      <c r="F27" s="14" t="s">
        <v>66</v>
      </c>
      <c r="G27" s="12" t="s">
        <v>108</v>
      </c>
      <c r="H27" s="15" t="n">
        <f aca="false">IF($D27=$G27,1,0)</f>
        <v>1</v>
      </c>
      <c r="I27" s="12" t="str">
        <f aca="false">IF($H27=1,"Correct",IF($G27="Draw","Draw (fav held)","Upset"))</f>
        <v>Correct</v>
      </c>
    </row>
    <row r="28" customFormat="false" ht="15" hidden="false" customHeight="true" outlineLevel="0" collapsed="false">
      <c r="A28" s="11" t="n">
        <v>46190</v>
      </c>
      <c r="B28" s="12" t="s">
        <v>23</v>
      </c>
      <c r="C28" s="13" t="s">
        <v>110</v>
      </c>
      <c r="D28" s="13" t="s">
        <v>111</v>
      </c>
      <c r="E28" s="13" t="s">
        <v>112</v>
      </c>
      <c r="F28" s="14" t="s">
        <v>113</v>
      </c>
      <c r="G28" s="12" t="s">
        <v>111</v>
      </c>
      <c r="H28" s="15" t="n">
        <f aca="false">IF($D28=$G28,1,0)</f>
        <v>1</v>
      </c>
      <c r="I28" s="12" t="str">
        <f aca="false">IF($H28=1,"Correct",IF($G28="Draw","Draw (fav held)","Upset"))</f>
        <v>Correct</v>
      </c>
    </row>
    <row r="29" customFormat="false" ht="15" hidden="false" customHeight="true" outlineLevel="0" collapsed="false">
      <c r="A29" s="11" t="n">
        <v>46191</v>
      </c>
      <c r="B29" s="12" t="s">
        <v>114</v>
      </c>
      <c r="C29" s="13" t="s">
        <v>115</v>
      </c>
      <c r="D29" s="13" t="s">
        <v>116</v>
      </c>
      <c r="E29" s="13" t="s">
        <v>117</v>
      </c>
      <c r="F29" s="14" t="s">
        <v>35</v>
      </c>
      <c r="G29" s="12" t="s">
        <v>36</v>
      </c>
      <c r="H29" s="15" t="n">
        <f aca="false">IF($D29=$G29,1,0)</f>
        <v>0</v>
      </c>
      <c r="I29" s="12" t="str">
        <f aca="false">IF($H29=1,"Correct",IF($G29="Draw","Draw (fav held)","Upset"))</f>
        <v>Draw (fav held)</v>
      </c>
    </row>
    <row r="30" customFormat="false" ht="15" hidden="false" customHeight="true" outlineLevel="0" collapsed="false">
      <c r="A30" s="11" t="n">
        <v>46191</v>
      </c>
      <c r="B30" s="12" t="s">
        <v>114</v>
      </c>
      <c r="C30" s="13" t="s">
        <v>118</v>
      </c>
      <c r="D30" s="13" t="s">
        <v>25</v>
      </c>
      <c r="E30" s="13" t="s">
        <v>119</v>
      </c>
      <c r="F30" s="14" t="s">
        <v>66</v>
      </c>
      <c r="G30" s="12" t="s">
        <v>25</v>
      </c>
      <c r="H30" s="15" t="n">
        <f aca="false">IF($D30=$G30,1,0)</f>
        <v>1</v>
      </c>
      <c r="I30" s="12" t="str">
        <f aca="false">IF($H30=1,"Correct",IF($G30="Draw","Draw (fav held)","Upset"))</f>
        <v>Correct</v>
      </c>
    </row>
    <row r="31" customFormat="false" ht="15" hidden="false" customHeight="true" outlineLevel="0" collapsed="false">
      <c r="A31" s="11" t="n">
        <v>46191</v>
      </c>
      <c r="B31" s="12" t="s">
        <v>114</v>
      </c>
      <c r="C31" s="13" t="s">
        <v>120</v>
      </c>
      <c r="D31" s="13" t="s">
        <v>42</v>
      </c>
      <c r="E31" s="13" t="s">
        <v>117</v>
      </c>
      <c r="F31" s="14" t="s">
        <v>40</v>
      </c>
      <c r="G31" s="12" t="s">
        <v>42</v>
      </c>
      <c r="H31" s="15" t="n">
        <f aca="false">IF($D31=$G31,1,0)</f>
        <v>1</v>
      </c>
      <c r="I31" s="12" t="str">
        <f aca="false">IF($H31=1,"Correct",IF($G31="Draw","Draw (fav held)","Upset"))</f>
        <v>Correct</v>
      </c>
    </row>
    <row r="32" customFormat="false" ht="15" hidden="false" customHeight="true" outlineLevel="0" collapsed="false">
      <c r="A32" s="11" t="n">
        <v>46191</v>
      </c>
      <c r="B32" s="12" t="s">
        <v>114</v>
      </c>
      <c r="C32" s="13" t="s">
        <v>121</v>
      </c>
      <c r="D32" s="13" t="s">
        <v>33</v>
      </c>
      <c r="E32" s="13" t="s">
        <v>117</v>
      </c>
      <c r="F32" s="14" t="s">
        <v>122</v>
      </c>
      <c r="G32" s="12" t="s">
        <v>33</v>
      </c>
      <c r="H32" s="15" t="n">
        <f aca="false">IF($D32=$G32,1,0)</f>
        <v>1</v>
      </c>
      <c r="I32" s="12" t="str">
        <f aca="false">IF($H32=1,"Correct",IF($G32="Draw","Draw (fav held)","Upset"))</f>
        <v>Correct</v>
      </c>
    </row>
    <row r="33" customFormat="false" ht="15" hidden="false" customHeight="true" outlineLevel="0" collapsed="false">
      <c r="A33" s="11" t="n">
        <v>46192</v>
      </c>
      <c r="B33" s="12" t="s">
        <v>114</v>
      </c>
      <c r="C33" s="13" t="s">
        <v>123</v>
      </c>
      <c r="D33" s="13" t="s">
        <v>38</v>
      </c>
      <c r="E33" s="13" t="s">
        <v>124</v>
      </c>
      <c r="F33" s="14" t="s">
        <v>27</v>
      </c>
      <c r="G33" s="12" t="s">
        <v>38</v>
      </c>
      <c r="H33" s="15" t="n">
        <f aca="false">IF($D33=$G33,1,0)</f>
        <v>1</v>
      </c>
      <c r="I33" s="12" t="str">
        <f aca="false">IF($H33=1,"Correct",IF($G33="Draw","Draw (fav held)","Upset"))</f>
        <v>Correct</v>
      </c>
    </row>
    <row r="34" customFormat="false" ht="15" hidden="false" customHeight="true" outlineLevel="0" collapsed="false">
      <c r="A34" s="11" t="n">
        <v>46192</v>
      </c>
      <c r="B34" s="12" t="s">
        <v>114</v>
      </c>
      <c r="C34" s="13" t="s">
        <v>125</v>
      </c>
      <c r="D34" s="13" t="s">
        <v>126</v>
      </c>
      <c r="E34" s="13" t="s">
        <v>124</v>
      </c>
      <c r="F34" s="14" t="s">
        <v>50</v>
      </c>
      <c r="G34" s="12" t="s">
        <v>126</v>
      </c>
      <c r="H34" s="15" t="n">
        <f aca="false">IF($D34=$G34,1,0)</f>
        <v>1</v>
      </c>
      <c r="I34" s="12" t="str">
        <f aca="false">IF($H34=1,"Correct",IF($G34="Draw","Draw (fav held)","Upset"))</f>
        <v>Correct</v>
      </c>
    </row>
    <row r="35" customFormat="false" ht="15" hidden="false" customHeight="true" outlineLevel="0" collapsed="false">
      <c r="A35" s="11" t="n">
        <v>46192</v>
      </c>
      <c r="B35" s="12" t="s">
        <v>114</v>
      </c>
      <c r="C35" s="13" t="s">
        <v>127</v>
      </c>
      <c r="D35" s="13" t="s">
        <v>45</v>
      </c>
      <c r="E35" s="13" t="s">
        <v>124</v>
      </c>
      <c r="F35" s="14" t="s">
        <v>96</v>
      </c>
      <c r="G35" s="12" t="s">
        <v>45</v>
      </c>
      <c r="H35" s="15" t="n">
        <f aca="false">IF($D35=$G35,1,0)</f>
        <v>1</v>
      </c>
      <c r="I35" s="12" t="str">
        <f aca="false">IF($H35=1,"Correct",IF($G35="Draw","Draw (fav held)","Upset"))</f>
        <v>Correct</v>
      </c>
    </row>
    <row r="36" customFormat="false" ht="15" hidden="false" customHeight="true" outlineLevel="0" collapsed="false">
      <c r="A36" s="11" t="n">
        <v>46192</v>
      </c>
      <c r="B36" s="12" t="s">
        <v>114</v>
      </c>
      <c r="C36" s="13" t="s">
        <v>128</v>
      </c>
      <c r="D36" s="13" t="s">
        <v>52</v>
      </c>
      <c r="E36" s="13" t="s">
        <v>129</v>
      </c>
      <c r="F36" s="14" t="s">
        <v>50</v>
      </c>
      <c r="G36" s="12" t="s">
        <v>130</v>
      </c>
      <c r="H36" s="15" t="n">
        <f aca="false">IF($D36=$G36,1,0)</f>
        <v>0</v>
      </c>
      <c r="I36" s="12" t="str">
        <f aca="false">IF($H36=1,"Correct",IF($G36="Draw","Draw (fav held)","Upset"))</f>
        <v>Upset</v>
      </c>
    </row>
    <row r="37" customFormat="false" ht="15" hidden="false" customHeight="true" outlineLevel="0" collapsed="false">
      <c r="A37" s="11" t="n">
        <v>46193</v>
      </c>
      <c r="B37" s="12" t="s">
        <v>114</v>
      </c>
      <c r="C37" s="13" t="s">
        <v>131</v>
      </c>
      <c r="D37" s="13" t="s">
        <v>60</v>
      </c>
      <c r="E37" s="13" t="s">
        <v>124</v>
      </c>
      <c r="F37" s="14" t="s">
        <v>71</v>
      </c>
      <c r="G37" s="12" t="s">
        <v>60</v>
      </c>
      <c r="H37" s="15" t="n">
        <f aca="false">IF($D37=$G37,1,0)</f>
        <v>1</v>
      </c>
      <c r="I37" s="12" t="str">
        <f aca="false">IF($H37=1,"Correct",IF($G37="Draw","Draw (fav held)","Upset"))</f>
        <v>Correct</v>
      </c>
    </row>
    <row r="38" customFormat="false" ht="15" hidden="false" customHeight="true" outlineLevel="0" collapsed="false">
      <c r="A38" s="11" t="n">
        <v>46193</v>
      </c>
      <c r="B38" s="12" t="s">
        <v>114</v>
      </c>
      <c r="C38" s="13" t="s">
        <v>132</v>
      </c>
      <c r="D38" s="13" t="s">
        <v>56</v>
      </c>
      <c r="E38" s="13" t="s">
        <v>124</v>
      </c>
      <c r="F38" s="14" t="s">
        <v>31</v>
      </c>
      <c r="G38" s="12" t="s">
        <v>56</v>
      </c>
      <c r="H38" s="15" t="n">
        <f aca="false">IF($D38=$G38,1,0)</f>
        <v>1</v>
      </c>
      <c r="I38" s="12" t="str">
        <f aca="false">IF($H38=1,"Correct",IF($G38="Draw","Draw (fav held)","Upset"))</f>
        <v>Correct</v>
      </c>
    </row>
    <row r="39" customFormat="false" ht="15" hidden="false" customHeight="true" outlineLevel="0" collapsed="false">
      <c r="A39" s="11" t="n">
        <v>46193</v>
      </c>
      <c r="B39" s="12" t="s">
        <v>114</v>
      </c>
      <c r="C39" s="13" t="s">
        <v>133</v>
      </c>
      <c r="D39" s="13" t="s">
        <v>64</v>
      </c>
      <c r="E39" s="13" t="s">
        <v>124</v>
      </c>
      <c r="F39" s="14" t="s">
        <v>75</v>
      </c>
      <c r="G39" s="12" t="s">
        <v>36</v>
      </c>
      <c r="H39" s="15" t="n">
        <f aca="false">IF($D39=$G39,1,0)</f>
        <v>0</v>
      </c>
      <c r="I39" s="12" t="str">
        <f aca="false">IF($H39=1,"Correct",IF($G39="Draw","Draw (fav held)","Upset"))</f>
        <v>Draw (fav held)</v>
      </c>
    </row>
    <row r="40" customFormat="false" ht="15" hidden="false" customHeight="true" outlineLevel="0" collapsed="false">
      <c r="A40" s="11" t="n">
        <v>46194</v>
      </c>
      <c r="B40" s="12" t="s">
        <v>114</v>
      </c>
      <c r="C40" s="13" t="s">
        <v>134</v>
      </c>
      <c r="D40" s="13" t="s">
        <v>135</v>
      </c>
      <c r="E40" s="13" t="s">
        <v>124</v>
      </c>
      <c r="F40" s="14" t="s">
        <v>136</v>
      </c>
      <c r="G40" s="12" t="s">
        <v>135</v>
      </c>
      <c r="H40" s="15" t="n">
        <f aca="false">IF($D40=$G40,1,0)</f>
        <v>1</v>
      </c>
      <c r="I40" s="12" t="str">
        <f aca="false">IF($H40=1,"Correct",IF($G40="Draw","Draw (fav held)","Upset"))</f>
        <v>Correct</v>
      </c>
    </row>
    <row r="41" customFormat="false" ht="15" hidden="false" customHeight="true" outlineLevel="0" collapsed="false">
      <c r="A41" s="11" t="n">
        <v>46194</v>
      </c>
      <c r="B41" s="12" t="s">
        <v>114</v>
      </c>
      <c r="C41" s="13" t="s">
        <v>137</v>
      </c>
      <c r="D41" s="13" t="s">
        <v>73</v>
      </c>
      <c r="E41" s="13" t="s">
        <v>124</v>
      </c>
      <c r="F41" s="14" t="s">
        <v>138</v>
      </c>
      <c r="G41" s="12" t="s">
        <v>73</v>
      </c>
      <c r="H41" s="15" t="n">
        <f aca="false">IF($D41=$G41,1,0)</f>
        <v>1</v>
      </c>
      <c r="I41" s="12" t="str">
        <f aca="false">IF($H41=1,"Correct",IF($G41="Draw","Draw (fav held)","Upset"))</f>
        <v>Correct</v>
      </c>
    </row>
    <row r="42" customFormat="false" ht="15" hidden="false" customHeight="true" outlineLevel="0" collapsed="false">
      <c r="A42" s="11" t="n">
        <v>46194</v>
      </c>
      <c r="B42" s="12" t="s">
        <v>114</v>
      </c>
      <c r="C42" s="13" t="s">
        <v>139</v>
      </c>
      <c r="D42" s="13" t="s">
        <v>77</v>
      </c>
      <c r="E42" s="13" t="s">
        <v>124</v>
      </c>
      <c r="F42" s="14" t="s">
        <v>75</v>
      </c>
      <c r="G42" s="12" t="s">
        <v>36</v>
      </c>
      <c r="H42" s="15" t="n">
        <f aca="false">IF($D42=$G42,1,0)</f>
        <v>0</v>
      </c>
      <c r="I42" s="12" t="str">
        <f aca="false">IF($H42=1,"Correct",IF($G42="Draw","Draw (fav held)","Upset"))</f>
        <v>Draw (fav held)</v>
      </c>
    </row>
    <row r="43" customFormat="false" ht="15" hidden="false" customHeight="true" outlineLevel="0" collapsed="false">
      <c r="A43" s="11" t="n">
        <v>46194</v>
      </c>
      <c r="B43" s="12" t="s">
        <v>114</v>
      </c>
      <c r="C43" s="13" t="s">
        <v>140</v>
      </c>
      <c r="D43" s="13" t="s">
        <v>80</v>
      </c>
      <c r="E43" s="13" t="s">
        <v>124</v>
      </c>
      <c r="F43" s="14" t="s">
        <v>35</v>
      </c>
      <c r="G43" s="12" t="s">
        <v>36</v>
      </c>
      <c r="H43" s="15" t="n">
        <f aca="false">IF($D43=$G43,1,0)</f>
        <v>0</v>
      </c>
      <c r="I43" s="12" t="str">
        <f aca="false">IF($H43=1,"Correct",IF($G43="Draw","Draw (fav held)","Upset"))</f>
        <v>Draw (fav held)</v>
      </c>
    </row>
    <row r="44" customFormat="false" ht="15" hidden="false" customHeight="true" outlineLevel="0" collapsed="false">
      <c r="A44" s="11" t="n">
        <v>46194</v>
      </c>
      <c r="B44" s="12" t="s">
        <v>114</v>
      </c>
      <c r="C44" s="13" t="s">
        <v>141</v>
      </c>
      <c r="D44" s="13" t="s">
        <v>142</v>
      </c>
      <c r="E44" s="13" t="s">
        <v>124</v>
      </c>
      <c r="F44" s="14" t="s">
        <v>113</v>
      </c>
      <c r="G44" s="12" t="s">
        <v>142</v>
      </c>
      <c r="H44" s="15" t="n">
        <f aca="false">IF($D44=$G44,1,0)</f>
        <v>1</v>
      </c>
      <c r="I44" s="12" t="str">
        <f aca="false">IF($H44=1,"Correct",IF($G44="Draw","Draw (fav held)","Upset"))</f>
        <v>Correct</v>
      </c>
    </row>
    <row r="45" customFormat="false" ht="15" hidden="false" customHeight="true" outlineLevel="0" collapsed="false">
      <c r="A45" s="11" t="n">
        <v>46195</v>
      </c>
      <c r="B45" s="12" t="s">
        <v>114</v>
      </c>
      <c r="C45" s="13" t="s">
        <v>143</v>
      </c>
      <c r="D45" s="13" t="s">
        <v>94</v>
      </c>
      <c r="E45" s="13" t="s">
        <v>124</v>
      </c>
      <c r="F45" s="14" t="s">
        <v>27</v>
      </c>
      <c r="G45" s="12" t="s">
        <v>94</v>
      </c>
      <c r="H45" s="15" t="n">
        <f aca="false">IF($D45=$G45,1,0)</f>
        <v>1</v>
      </c>
      <c r="I45" s="12" t="str">
        <f aca="false">IF($H45=1,"Correct",IF($G45="Draw","Draw (fav held)","Upset"))</f>
        <v>Correct</v>
      </c>
    </row>
    <row r="46" customFormat="false" ht="15" hidden="false" customHeight="true" outlineLevel="0" collapsed="false">
      <c r="A46" s="11" t="n">
        <v>46195</v>
      </c>
      <c r="B46" s="12" t="s">
        <v>114</v>
      </c>
      <c r="C46" s="13" t="s">
        <v>144</v>
      </c>
      <c r="D46" s="13" t="s">
        <v>86</v>
      </c>
      <c r="E46" s="13" t="s">
        <v>124</v>
      </c>
      <c r="F46" s="14" t="s">
        <v>96</v>
      </c>
      <c r="G46" s="12" t="s">
        <v>86</v>
      </c>
      <c r="H46" s="15" t="n">
        <f aca="false">IF($D46=$G46,1,0)</f>
        <v>1</v>
      </c>
      <c r="I46" s="12" t="str">
        <f aca="false">IF($H46=1,"Correct",IF($G46="Draw","Draw (fav held)","Upset"))</f>
        <v>Correct</v>
      </c>
    </row>
    <row r="47" customFormat="false" ht="15" hidden="false" customHeight="true" outlineLevel="0" collapsed="false">
      <c r="A47" s="11" t="n">
        <v>46195</v>
      </c>
      <c r="B47" s="12" t="s">
        <v>114</v>
      </c>
      <c r="C47" s="13" t="s">
        <v>145</v>
      </c>
      <c r="D47" s="13" t="s">
        <v>90</v>
      </c>
      <c r="E47" s="13" t="s">
        <v>146</v>
      </c>
      <c r="F47" s="14" t="s">
        <v>147</v>
      </c>
      <c r="G47" s="12" t="s">
        <v>90</v>
      </c>
      <c r="H47" s="15" t="n">
        <f aca="false">IF($D47=$G47,1,0)</f>
        <v>1</v>
      </c>
      <c r="I47" s="12" t="str">
        <f aca="false">IF($H47=1,"Correct",IF($G47="Draw","Draw (fav held)","Upset"))</f>
        <v>Correct</v>
      </c>
    </row>
    <row r="48" customFormat="false" ht="15" hidden="false" customHeight="true" outlineLevel="0" collapsed="false">
      <c r="A48" s="11" t="n">
        <v>46195</v>
      </c>
      <c r="B48" s="12" t="s">
        <v>114</v>
      </c>
      <c r="C48" s="13" t="s">
        <v>148</v>
      </c>
      <c r="D48" s="13" t="s">
        <v>149</v>
      </c>
      <c r="E48" s="13" t="s">
        <v>124</v>
      </c>
      <c r="F48" s="14" t="s">
        <v>150</v>
      </c>
      <c r="G48" s="12" t="s">
        <v>149</v>
      </c>
      <c r="H48" s="15" t="n">
        <f aca="false">IF($D48=$G48,1,0)</f>
        <v>1</v>
      </c>
      <c r="I48" s="12" t="str">
        <f aca="false">IF($H48=1,"Correct",IF($G48="Draw","Draw (fav held)","Upset"))</f>
        <v>Correct</v>
      </c>
    </row>
    <row r="49" customFormat="false" ht="15" hidden="false" customHeight="true" outlineLevel="0" collapsed="false">
      <c r="A49" s="11" t="n">
        <v>46196</v>
      </c>
      <c r="B49" s="12" t="s">
        <v>114</v>
      </c>
      <c r="C49" s="13" t="s">
        <v>151</v>
      </c>
      <c r="D49" s="13" t="s">
        <v>101</v>
      </c>
      <c r="E49" s="13" t="s">
        <v>124</v>
      </c>
      <c r="F49" s="14" t="s">
        <v>152</v>
      </c>
      <c r="G49" s="12" t="s">
        <v>101</v>
      </c>
      <c r="H49" s="15" t="n">
        <f aca="false">IF($D49=$G49,1,0)</f>
        <v>1</v>
      </c>
      <c r="I49" s="12" t="str">
        <f aca="false">IF($H49=1,"Correct",IF($G49="Draw","Draw (fav held)","Upset"))</f>
        <v>Correct</v>
      </c>
    </row>
    <row r="50" customFormat="false" ht="15" hidden="false" customHeight="true" outlineLevel="0" collapsed="false">
      <c r="A50" s="11" t="n">
        <v>46196</v>
      </c>
      <c r="B50" s="12" t="s">
        <v>114</v>
      </c>
      <c r="C50" s="13" t="s">
        <v>153</v>
      </c>
      <c r="D50" s="13" t="s">
        <v>104</v>
      </c>
      <c r="E50" s="13" t="s">
        <v>124</v>
      </c>
      <c r="F50" s="14" t="s">
        <v>75</v>
      </c>
      <c r="G50" s="12" t="s">
        <v>36</v>
      </c>
      <c r="H50" s="15" t="n">
        <f aca="false">IF($D50=$G50,1,0)</f>
        <v>0</v>
      </c>
      <c r="I50" s="12" t="str">
        <f aca="false">IF($H50=1,"Correct",IF($G50="Draw","Draw (fav held)","Upset"))</f>
        <v>Draw (fav held)</v>
      </c>
    </row>
    <row r="51" customFormat="false" ht="15" hidden="false" customHeight="true" outlineLevel="0" collapsed="false">
      <c r="A51" s="11" t="n">
        <v>46196</v>
      </c>
      <c r="B51" s="12" t="s">
        <v>114</v>
      </c>
      <c r="C51" s="13" t="s">
        <v>154</v>
      </c>
      <c r="D51" s="13" t="s">
        <v>155</v>
      </c>
      <c r="E51" s="13" t="s">
        <v>124</v>
      </c>
      <c r="F51" s="14" t="s">
        <v>50</v>
      </c>
      <c r="G51" s="12" t="s">
        <v>155</v>
      </c>
      <c r="H51" s="15" t="n">
        <f aca="false">IF($D51=$G51,1,0)</f>
        <v>1</v>
      </c>
      <c r="I51" s="12" t="str">
        <f aca="false">IF($H51=1,"Correct",IF($G51="Draw","Draw (fav held)","Upset"))</f>
        <v>Correct</v>
      </c>
    </row>
    <row r="52" customFormat="false" ht="15" hidden="false" customHeight="true" outlineLevel="0" collapsed="false">
      <c r="A52" s="11" t="n">
        <v>46196</v>
      </c>
      <c r="B52" s="12" t="s">
        <v>114</v>
      </c>
      <c r="C52" s="13" t="s">
        <v>156</v>
      </c>
      <c r="D52" s="13" t="s">
        <v>111</v>
      </c>
      <c r="E52" s="13" t="s">
        <v>124</v>
      </c>
      <c r="F52" s="14" t="s">
        <v>66</v>
      </c>
      <c r="G52" s="12" t="s">
        <v>111</v>
      </c>
      <c r="H52" s="15" t="n">
        <f aca="false">IF($D52=$G52,1,0)</f>
        <v>1</v>
      </c>
      <c r="I52" s="12" t="str">
        <f aca="false">IF($H52=1,"Correct",IF($G52="Draw","Draw (fav held)","Upset"))</f>
        <v>Correct</v>
      </c>
    </row>
    <row r="53" customFormat="false" ht="15" hidden="false" customHeight="true" outlineLevel="0" collapsed="false">
      <c r="A53" s="11" t="n">
        <v>46197</v>
      </c>
      <c r="B53" s="12" t="s">
        <v>157</v>
      </c>
      <c r="C53" s="13" t="s">
        <v>158</v>
      </c>
      <c r="D53" s="13" t="s">
        <v>42</v>
      </c>
      <c r="E53" s="13" t="s">
        <v>159</v>
      </c>
      <c r="F53" s="14" t="s">
        <v>31</v>
      </c>
      <c r="G53" s="12" t="s">
        <v>42</v>
      </c>
      <c r="H53" s="15" t="n">
        <f aca="false">IF($D53=$G53,1,0)</f>
        <v>1</v>
      </c>
      <c r="I53" s="12" t="str">
        <f aca="false">IF($H53=1,"Correct",IF($G53="Draw","Draw (fav held)","Upset"))</f>
        <v>Correct</v>
      </c>
    </row>
    <row r="54" customFormat="false" ht="15" hidden="false" customHeight="true" outlineLevel="0" collapsed="false">
      <c r="A54" s="11" t="n">
        <v>46197</v>
      </c>
      <c r="B54" s="12" t="s">
        <v>157</v>
      </c>
      <c r="C54" s="13" t="s">
        <v>160</v>
      </c>
      <c r="D54" s="13" t="s">
        <v>161</v>
      </c>
      <c r="E54" s="13" t="s">
        <v>162</v>
      </c>
      <c r="F54" s="14" t="s">
        <v>113</v>
      </c>
      <c r="G54" s="12" t="s">
        <v>163</v>
      </c>
      <c r="H54" s="15" t="n">
        <f aca="false">IF($D54=$G54,1,0)</f>
        <v>0</v>
      </c>
      <c r="I54" s="12" t="str">
        <f aca="false">IF($H54=1,"Correct",IF($G54="Draw","Draw (fav held)","Upset"))</f>
        <v>Upset</v>
      </c>
    </row>
    <row r="55" customFormat="false" ht="15" hidden="false" customHeight="true" outlineLevel="0" collapsed="false">
      <c r="A55" s="11" t="n">
        <v>46197</v>
      </c>
      <c r="B55" s="12" t="s">
        <v>157</v>
      </c>
      <c r="C55" s="13" t="s">
        <v>164</v>
      </c>
      <c r="D55" s="13" t="s">
        <v>45</v>
      </c>
      <c r="E55" s="13" t="s">
        <v>124</v>
      </c>
      <c r="F55" s="14" t="s">
        <v>165</v>
      </c>
      <c r="G55" s="12" t="s">
        <v>45</v>
      </c>
      <c r="H55" s="15" t="n">
        <f aca="false">IF($D55=$G55,1,0)</f>
        <v>1</v>
      </c>
      <c r="I55" s="12" t="str">
        <f aca="false">IF($H55=1,"Correct",IF($G55="Draw","Draw (fav held)","Upset"))</f>
        <v>Correct</v>
      </c>
    </row>
    <row r="56" customFormat="false" ht="15" hidden="false" customHeight="true" outlineLevel="0" collapsed="false">
      <c r="A56" s="11" t="n">
        <v>46197</v>
      </c>
      <c r="B56" s="12" t="s">
        <v>157</v>
      </c>
      <c r="C56" s="13" t="s">
        <v>166</v>
      </c>
      <c r="D56" s="13" t="s">
        <v>126</v>
      </c>
      <c r="E56" s="13" t="s">
        <v>124</v>
      </c>
      <c r="F56" s="14" t="s">
        <v>106</v>
      </c>
      <c r="G56" s="12" t="s">
        <v>126</v>
      </c>
      <c r="H56" s="15" t="n">
        <f aca="false">IF($D56=$G56,1,0)</f>
        <v>1</v>
      </c>
      <c r="I56" s="12" t="str">
        <f aca="false">IF($H56=1,"Correct",IF($G56="Draw","Draw (fav held)","Upset"))</f>
        <v>Correct</v>
      </c>
    </row>
    <row r="57" customFormat="false" ht="15" hidden="false" customHeight="true" outlineLevel="0" collapsed="false">
      <c r="A57" s="11" t="n">
        <v>46197</v>
      </c>
      <c r="B57" s="12" t="s">
        <v>157</v>
      </c>
      <c r="C57" s="13" t="s">
        <v>167</v>
      </c>
      <c r="D57" s="13" t="s">
        <v>25</v>
      </c>
      <c r="E57" s="13" t="s">
        <v>124</v>
      </c>
      <c r="F57" s="14" t="s">
        <v>165</v>
      </c>
      <c r="G57" s="12" t="s">
        <v>25</v>
      </c>
      <c r="H57" s="15" t="n">
        <f aca="false">IF($D57=$G57,1,0)</f>
        <v>1</v>
      </c>
      <c r="I57" s="12" t="str">
        <f aca="false">IF($H57=1,"Correct",IF($G57="Draw","Draw (fav held)","Upset"))</f>
        <v>Correct</v>
      </c>
    </row>
    <row r="58" customFormat="false" ht="15" hidden="false" customHeight="true" outlineLevel="0" collapsed="false">
      <c r="A58" s="11" t="n">
        <v>46197</v>
      </c>
      <c r="B58" s="12" t="s">
        <v>157</v>
      </c>
      <c r="C58" s="13" t="s">
        <v>168</v>
      </c>
      <c r="D58" s="13" t="s">
        <v>29</v>
      </c>
      <c r="E58" s="13" t="s">
        <v>169</v>
      </c>
      <c r="F58" s="14" t="s">
        <v>66</v>
      </c>
      <c r="G58" s="12" t="s">
        <v>170</v>
      </c>
      <c r="H58" s="15" t="n">
        <f aca="false">IF($D58=$G58,1,0)</f>
        <v>0</v>
      </c>
      <c r="I58" s="12" t="str">
        <f aca="false">IF($H58=1,"Correct",IF($G58="Draw","Draw (fav held)","Upset"))</f>
        <v>Upset</v>
      </c>
    </row>
    <row r="59" customFormat="false" ht="15" hidden="false" customHeight="true" outlineLevel="0" collapsed="false">
      <c r="A59" s="11" t="n">
        <v>46198</v>
      </c>
      <c r="B59" s="12" t="s">
        <v>157</v>
      </c>
      <c r="C59" s="13" t="s">
        <v>171</v>
      </c>
      <c r="D59" s="13" t="s">
        <v>67</v>
      </c>
      <c r="E59" s="13" t="s">
        <v>124</v>
      </c>
      <c r="F59" s="14" t="s">
        <v>172</v>
      </c>
      <c r="G59" s="12" t="s">
        <v>67</v>
      </c>
      <c r="H59" s="15" t="n">
        <f aca="false">IF($D59=$G59,1,0)</f>
        <v>1</v>
      </c>
      <c r="I59" s="12" t="str">
        <f aca="false">IF($H59=1,"Correct",IF($G59="Draw","Draw (fav held)","Upset"))</f>
        <v>Correct</v>
      </c>
    </row>
    <row r="60" customFormat="false" ht="15" hidden="false" customHeight="true" outlineLevel="0" collapsed="false">
      <c r="A60" s="11" t="n">
        <v>46198</v>
      </c>
      <c r="B60" s="12" t="s">
        <v>157</v>
      </c>
      <c r="C60" s="13" t="s">
        <v>173</v>
      </c>
      <c r="D60" s="13" t="s">
        <v>56</v>
      </c>
      <c r="E60" s="13" t="s">
        <v>124</v>
      </c>
      <c r="F60" s="14" t="s">
        <v>31</v>
      </c>
      <c r="G60" s="12" t="s">
        <v>64</v>
      </c>
      <c r="H60" s="15" t="n">
        <f aca="false">IF($D60=$G60,1,0)</f>
        <v>0</v>
      </c>
      <c r="I60" s="12" t="str">
        <f aca="false">IF($H60=1,"Correct",IF($G60="Draw","Draw (fav held)","Upset"))</f>
        <v>Upset</v>
      </c>
    </row>
    <row r="61" customFormat="false" ht="15" hidden="false" customHeight="true" outlineLevel="0" collapsed="false">
      <c r="A61" s="11" t="n">
        <v>46198</v>
      </c>
      <c r="B61" s="12" t="s">
        <v>157</v>
      </c>
      <c r="C61" s="13" t="s">
        <v>174</v>
      </c>
      <c r="D61" s="13" t="s">
        <v>135</v>
      </c>
      <c r="E61" s="13" t="s">
        <v>175</v>
      </c>
      <c r="F61" s="14" t="s">
        <v>35</v>
      </c>
      <c r="G61" s="12" t="s">
        <v>36</v>
      </c>
      <c r="H61" s="15" t="n">
        <f aca="false">IF($D61=$G61,1,0)</f>
        <v>0</v>
      </c>
      <c r="I61" s="12" t="str">
        <f aca="false">IF($H61=1,"Correct",IF($G61="Draw","Draw (fav held)","Upset"))</f>
        <v>Draw (fav held)</v>
      </c>
    </row>
    <row r="62" customFormat="false" ht="15" hidden="false" customHeight="true" outlineLevel="0" collapsed="false">
      <c r="A62" s="11" t="n">
        <v>46198</v>
      </c>
      <c r="B62" s="12" t="s">
        <v>157</v>
      </c>
      <c r="C62" s="13" t="s">
        <v>176</v>
      </c>
      <c r="D62" s="13" t="s">
        <v>60</v>
      </c>
      <c r="E62" s="13" t="s">
        <v>124</v>
      </c>
      <c r="F62" s="14" t="s">
        <v>113</v>
      </c>
      <c r="G62" s="12" t="s">
        <v>60</v>
      </c>
      <c r="H62" s="15" t="n">
        <f aca="false">IF($D62=$G62,1,0)</f>
        <v>1</v>
      </c>
      <c r="I62" s="12" t="str">
        <f aca="false">IF($H62=1,"Correct",IF($G62="Draw","Draw (fav held)","Upset"))</f>
        <v>Correct</v>
      </c>
    </row>
    <row r="63" customFormat="false" ht="15" hidden="false" customHeight="true" outlineLevel="0" collapsed="false">
      <c r="A63" s="11" t="n">
        <v>46198</v>
      </c>
      <c r="B63" s="12" t="s">
        <v>157</v>
      </c>
      <c r="C63" s="13" t="s">
        <v>177</v>
      </c>
      <c r="D63" s="13" t="s">
        <v>38</v>
      </c>
      <c r="E63" s="13" t="s">
        <v>178</v>
      </c>
      <c r="F63" s="14" t="s">
        <v>147</v>
      </c>
      <c r="G63" s="12" t="s">
        <v>52</v>
      </c>
      <c r="H63" s="15" t="n">
        <f aca="false">IF($D63=$G63,1,0)</f>
        <v>0</v>
      </c>
      <c r="I63" s="12" t="str">
        <f aca="false">IF($H63=1,"Correct",IF($G63="Draw","Draw (fav held)","Upset"))</f>
        <v>Upset</v>
      </c>
    </row>
    <row r="64" customFormat="false" ht="15" hidden="false" customHeight="true" outlineLevel="0" collapsed="false">
      <c r="A64" s="11" t="n">
        <v>46198</v>
      </c>
      <c r="B64" s="12" t="s">
        <v>157</v>
      </c>
      <c r="C64" s="13" t="s">
        <v>179</v>
      </c>
      <c r="D64" s="13" t="s">
        <v>130</v>
      </c>
      <c r="E64" s="13" t="s">
        <v>175</v>
      </c>
      <c r="F64" s="14" t="s">
        <v>75</v>
      </c>
      <c r="G64" s="12" t="s">
        <v>36</v>
      </c>
      <c r="H64" s="15" t="n">
        <f aca="false">IF($D64=$G64,1,0)</f>
        <v>0</v>
      </c>
      <c r="I64" s="12" t="str">
        <f aca="false">IF($H64=1,"Correct",IF($G64="Draw","Draw (fav held)","Upset"))</f>
        <v>Draw (fav held)</v>
      </c>
    </row>
    <row r="65" customFormat="false" ht="15" hidden="false" customHeight="true" outlineLevel="0" collapsed="false">
      <c r="A65" s="11" t="n">
        <v>46199</v>
      </c>
      <c r="B65" s="12" t="s">
        <v>157</v>
      </c>
      <c r="C65" s="13" t="s">
        <v>180</v>
      </c>
      <c r="D65" s="13" t="s">
        <v>86</v>
      </c>
      <c r="E65" s="13" t="s">
        <v>124</v>
      </c>
      <c r="F65" s="14" t="s">
        <v>92</v>
      </c>
      <c r="G65" s="12" t="s">
        <v>86</v>
      </c>
      <c r="H65" s="15" t="n">
        <f aca="false">IF($D65=$G65,1,0)</f>
        <v>1</v>
      </c>
      <c r="I65" s="12" t="str">
        <f aca="false">IF($H65=1,"Correct",IF($G65="Draw","Draw (fav held)","Upset"))</f>
        <v>Correct</v>
      </c>
    </row>
    <row r="66" customFormat="false" ht="15" hidden="false" customHeight="true" outlineLevel="0" collapsed="false">
      <c r="A66" s="11" t="n">
        <v>46199</v>
      </c>
      <c r="B66" s="12" t="s">
        <v>157</v>
      </c>
      <c r="C66" s="13" t="s">
        <v>181</v>
      </c>
      <c r="D66" s="13" t="s">
        <v>182</v>
      </c>
      <c r="E66" s="13" t="s">
        <v>124</v>
      </c>
      <c r="F66" s="14" t="s">
        <v>152</v>
      </c>
      <c r="G66" s="12" t="s">
        <v>182</v>
      </c>
      <c r="H66" s="15" t="n">
        <f aca="false">IF($D66=$G66,1,0)</f>
        <v>1</v>
      </c>
      <c r="I66" s="12" t="str">
        <f aca="false">IF($H66=1,"Correct",IF($G66="Draw","Draw (fav held)","Upset"))</f>
        <v>Correct</v>
      </c>
    </row>
    <row r="67" customFormat="false" ht="15" hidden="false" customHeight="true" outlineLevel="0" collapsed="false">
      <c r="A67" s="11" t="n">
        <v>46199</v>
      </c>
      <c r="B67" s="12" t="s">
        <v>157</v>
      </c>
      <c r="C67" s="13" t="s">
        <v>183</v>
      </c>
      <c r="D67" s="13" t="s">
        <v>184</v>
      </c>
      <c r="E67" s="13" t="s">
        <v>175</v>
      </c>
      <c r="F67" s="14" t="s">
        <v>75</v>
      </c>
      <c r="G67" s="12" t="s">
        <v>36</v>
      </c>
      <c r="H67" s="15" t="n">
        <f aca="false">IF($D67=$G67,1,0)</f>
        <v>0</v>
      </c>
      <c r="I67" s="12" t="str">
        <f aca="false">IF($H67=1,"Correct",IF($G67="Draw","Draw (fav held)","Upset"))</f>
        <v>Draw (fav held)</v>
      </c>
    </row>
    <row r="68" customFormat="false" ht="15" hidden="false" customHeight="true" outlineLevel="0" collapsed="false">
      <c r="A68" s="11" t="n">
        <v>46199</v>
      </c>
      <c r="B68" s="12" t="s">
        <v>157</v>
      </c>
      <c r="C68" s="13" t="s">
        <v>185</v>
      </c>
      <c r="D68" s="13" t="s">
        <v>73</v>
      </c>
      <c r="E68" s="13" t="s">
        <v>124</v>
      </c>
      <c r="F68" s="14" t="s">
        <v>50</v>
      </c>
      <c r="G68" s="12" t="s">
        <v>73</v>
      </c>
      <c r="H68" s="15" t="n">
        <f aca="false">IF($D68=$G68,1,0)</f>
        <v>1</v>
      </c>
      <c r="I68" s="12" t="str">
        <f aca="false">IF($H68=1,"Correct",IF($G68="Draw","Draw (fav held)","Upset"))</f>
        <v>Correct</v>
      </c>
    </row>
    <row r="69" customFormat="false" ht="15" hidden="false" customHeight="true" outlineLevel="0" collapsed="false">
      <c r="A69" s="11" t="n">
        <v>46199</v>
      </c>
      <c r="B69" s="12" t="s">
        <v>157</v>
      </c>
      <c r="C69" s="13" t="s">
        <v>186</v>
      </c>
      <c r="D69" s="13" t="s">
        <v>142</v>
      </c>
      <c r="E69" s="13" t="s">
        <v>175</v>
      </c>
      <c r="F69" s="14" t="s">
        <v>35</v>
      </c>
      <c r="G69" s="12" t="s">
        <v>36</v>
      </c>
      <c r="H69" s="15" t="n">
        <f aca="false">IF($D69=$G69,1,0)</f>
        <v>0</v>
      </c>
      <c r="I69" s="12" t="str">
        <f aca="false">IF($H69=1,"Correct",IF($G69="Draw","Draw (fav held)","Upset"))</f>
        <v>Draw (fav held)</v>
      </c>
    </row>
    <row r="70" customFormat="false" ht="15" hidden="false" customHeight="true" outlineLevel="0" collapsed="false">
      <c r="A70" s="11" t="n">
        <v>46199</v>
      </c>
      <c r="B70" s="12" t="s">
        <v>157</v>
      </c>
      <c r="C70" s="13" t="s">
        <v>187</v>
      </c>
      <c r="D70" s="13" t="s">
        <v>77</v>
      </c>
      <c r="E70" s="13" t="s">
        <v>124</v>
      </c>
      <c r="F70" s="14" t="s">
        <v>188</v>
      </c>
      <c r="G70" s="12" t="s">
        <v>77</v>
      </c>
      <c r="H70" s="15" t="n">
        <f aca="false">IF($D70=$G70,1,0)</f>
        <v>1</v>
      </c>
      <c r="I70" s="12" t="str">
        <f aca="false">IF($H70=1,"Correct",IF($G70="Draw","Draw (fav held)","Upset"))</f>
        <v>Correct</v>
      </c>
    </row>
    <row r="71" customFormat="false" ht="15" hidden="false" customHeight="true" outlineLevel="0" collapsed="false">
      <c r="A71" s="11" t="n">
        <v>46200</v>
      </c>
      <c r="B71" s="12" t="s">
        <v>157</v>
      </c>
      <c r="C71" s="13" t="s">
        <v>189</v>
      </c>
      <c r="D71" s="13" t="s">
        <v>104</v>
      </c>
      <c r="E71" s="13" t="s">
        <v>124</v>
      </c>
      <c r="F71" s="14" t="s">
        <v>150</v>
      </c>
      <c r="G71" s="12" t="s">
        <v>104</v>
      </c>
      <c r="H71" s="15" t="n">
        <f aca="false">IF($D71=$G71,1,0)</f>
        <v>1</v>
      </c>
      <c r="I71" s="12" t="str">
        <f aca="false">IF($H71=1,"Correct",IF($G71="Draw","Draw (fav held)","Upset"))</f>
        <v>Correct</v>
      </c>
    </row>
    <row r="72" customFormat="false" ht="15" hidden="false" customHeight="true" outlineLevel="0" collapsed="false">
      <c r="A72" s="11" t="n">
        <v>46200</v>
      </c>
      <c r="B72" s="12" t="s">
        <v>157</v>
      </c>
      <c r="C72" s="13" t="s">
        <v>190</v>
      </c>
      <c r="D72" s="13" t="s">
        <v>155</v>
      </c>
      <c r="E72" s="13" t="s">
        <v>124</v>
      </c>
      <c r="F72" s="14" t="s">
        <v>31</v>
      </c>
      <c r="G72" s="12" t="s">
        <v>155</v>
      </c>
      <c r="H72" s="15" t="n">
        <f aca="false">IF($D72=$G72,1,0)</f>
        <v>1</v>
      </c>
      <c r="I72" s="12" t="str">
        <f aca="false">IF($H72=1,"Correct",IF($G72="Draw","Draw (fav held)","Upset"))</f>
        <v>Correct</v>
      </c>
    </row>
    <row r="73" customFormat="false" ht="15" hidden="false" customHeight="true" outlineLevel="0" collapsed="false">
      <c r="A73" s="11" t="n">
        <v>46200</v>
      </c>
      <c r="B73" s="12" t="s">
        <v>157</v>
      </c>
      <c r="C73" s="13" t="s">
        <v>191</v>
      </c>
      <c r="D73" s="13" t="s">
        <v>101</v>
      </c>
      <c r="E73" s="13" t="s">
        <v>175</v>
      </c>
      <c r="F73" s="14" t="s">
        <v>75</v>
      </c>
      <c r="G73" s="12" t="s">
        <v>36</v>
      </c>
      <c r="H73" s="15" t="n">
        <f aca="false">IF($D73=$G73,1,0)</f>
        <v>0</v>
      </c>
      <c r="I73" s="12" t="str">
        <f aca="false">IF($H73=1,"Correct",IF($G73="Draw","Draw (fav held)","Upset"))</f>
        <v>Draw (fav held)</v>
      </c>
    </row>
    <row r="74" customFormat="false" ht="15" hidden="false" customHeight="true" outlineLevel="0" collapsed="false">
      <c r="A74" s="11" t="n">
        <v>46200</v>
      </c>
      <c r="B74" s="12" t="s">
        <v>157</v>
      </c>
      <c r="C74" s="13" t="s">
        <v>192</v>
      </c>
      <c r="D74" s="13" t="s">
        <v>193</v>
      </c>
      <c r="E74" s="13" t="s">
        <v>194</v>
      </c>
      <c r="F74" s="14" t="s">
        <v>88</v>
      </c>
      <c r="G74" s="12" t="s">
        <v>193</v>
      </c>
      <c r="H74" s="15" t="n">
        <f aca="false">IF($D74=$G74,1,0)</f>
        <v>1</v>
      </c>
      <c r="I74" s="12" t="str">
        <f aca="false">IF($H74=1,"Correct",IF($G74="Draw","Draw (fav held)","Upset"))</f>
        <v>Correct</v>
      </c>
    </row>
    <row r="75" customFormat="false" ht="15" hidden="false" customHeight="true" outlineLevel="0" collapsed="false">
      <c r="A75" s="11" t="n">
        <v>46200</v>
      </c>
      <c r="B75" s="12" t="s">
        <v>157</v>
      </c>
      <c r="C75" s="13" t="s">
        <v>195</v>
      </c>
      <c r="D75" s="13" t="s">
        <v>98</v>
      </c>
      <c r="E75" s="13" t="s">
        <v>175</v>
      </c>
      <c r="F75" s="14" t="s">
        <v>196</v>
      </c>
      <c r="G75" s="12" t="s">
        <v>36</v>
      </c>
      <c r="H75" s="15" t="n">
        <f aca="false">IF($D75=$G75,1,0)</f>
        <v>0</v>
      </c>
      <c r="I75" s="12" t="str">
        <f aca="false">IF($H75=1,"Correct",IF($G75="Draw","Draw (fav held)","Upset"))</f>
        <v>Draw (fav held)</v>
      </c>
    </row>
    <row r="76" customFormat="false" ht="15" hidden="false" customHeight="true" outlineLevel="0" collapsed="false">
      <c r="A76" s="11" t="n">
        <v>46200</v>
      </c>
      <c r="B76" s="12" t="s">
        <v>157</v>
      </c>
      <c r="C76" s="13" t="s">
        <v>197</v>
      </c>
      <c r="D76" s="13" t="s">
        <v>94</v>
      </c>
      <c r="E76" s="13" t="s">
        <v>124</v>
      </c>
      <c r="F76" s="14" t="s">
        <v>113</v>
      </c>
      <c r="G76" s="12" t="s">
        <v>94</v>
      </c>
      <c r="H76" s="15" t="n">
        <f aca="false">IF($D76=$G76,1,0)</f>
        <v>1</v>
      </c>
      <c r="I76" s="12" t="str">
        <f aca="false">IF($H76=1,"Correct",IF($G76="Draw","Draw (fav held)","Upset"))</f>
        <v>Correct</v>
      </c>
    </row>
  </sheetData>
  <conditionalFormatting sqref="H5:H500">
    <cfRule type="cellIs" priority="2" operator="equal" aboveAverage="0" equalAverage="0" bottom="0" percent="0" rank="0" text="" dxfId="0">
      <formula>1</formula>
    </cfRule>
    <cfRule type="cellIs" priority="3" operator="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7"/>
    <col collapsed="false" customWidth="true" hidden="false" outlineLevel="0" max="4" min="3" style="1" width="9"/>
    <col collapsed="false" customWidth="true" hidden="false" outlineLevel="0" max="5" min="5" style="1" width="6"/>
    <col collapsed="false" customWidth="true" hidden="false" outlineLevel="0" max="6" min="6" style="1" width="13"/>
    <col collapsed="false" customWidth="true" hidden="false" outlineLevel="0" max="7" min="7" style="1" width="12"/>
    <col collapsed="false" customWidth="true" hidden="false" outlineLevel="0" max="8" min="8" style="1" width="13"/>
    <col collapsed="false" customWidth="true" hidden="false" outlineLevel="0" max="9" min="9" style="1" width="18"/>
  </cols>
  <sheetData>
    <row r="1" customFormat="false" ht="17.25" hidden="false" customHeight="true" outlineLevel="0" collapsed="false">
      <c r="A1" s="2" t="s">
        <v>198</v>
      </c>
    </row>
    <row r="2" customFormat="false" ht="15" hidden="false" customHeight="true" outlineLevel="0" collapsed="false">
      <c r="A2" s="3" t="s">
        <v>199</v>
      </c>
    </row>
    <row r="4" customFormat="false" ht="15" hidden="false" customHeight="true" outlineLevel="0" collapsed="false">
      <c r="A4" s="10" t="s">
        <v>14</v>
      </c>
      <c r="B4" s="10" t="s">
        <v>15</v>
      </c>
      <c r="C4" s="10" t="s">
        <v>200</v>
      </c>
      <c r="D4" s="10" t="s">
        <v>21</v>
      </c>
      <c r="E4" s="10" t="s">
        <v>4</v>
      </c>
      <c r="F4" s="10" t="s">
        <v>201</v>
      </c>
      <c r="G4" s="10" t="s">
        <v>202</v>
      </c>
      <c r="H4" s="10" t="s">
        <v>203</v>
      </c>
      <c r="I4" s="10" t="s">
        <v>204</v>
      </c>
    </row>
    <row r="5" customFormat="false" ht="15" hidden="false" customHeight="true" outlineLevel="0" collapsed="false">
      <c r="A5" s="11" t="n">
        <v>46184</v>
      </c>
      <c r="B5" s="12" t="s">
        <v>23</v>
      </c>
      <c r="C5" s="12" t="n">
        <f aca="false">COUNTIFS(Matches!$A$5:$A$200,$A5)</f>
        <v>2</v>
      </c>
      <c r="D5" s="12" t="n">
        <f aca="false">SUMIFS(Matches!$H$5:$H$200,Matches!$A$5:$A$200,$A5)</f>
        <v>2</v>
      </c>
      <c r="E5" s="12" t="n">
        <f aca="false">C5-D5</f>
        <v>0</v>
      </c>
      <c r="F5" s="16" t="n">
        <f aca="false">IF(C5=0,"",D5/C5)</f>
        <v>1</v>
      </c>
      <c r="G5" s="12" t="n">
        <f aca="false">SUMIFS(Matches!$H$5:$H$200,Matches!$A$5:$A$200,"&lt;="&amp;$A5)</f>
        <v>2</v>
      </c>
      <c r="H5" s="12" t="n">
        <f aca="false">COUNTIFS(Matches!$A$5:$A$200,"&lt;="&amp;$A5)</f>
        <v>2</v>
      </c>
      <c r="I5" s="16" t="n">
        <f aca="false">IF(H5=0,"",G5/H5)</f>
        <v>1</v>
      </c>
    </row>
    <row r="6" customFormat="false" ht="15" hidden="false" customHeight="true" outlineLevel="0" collapsed="false">
      <c r="A6" s="11" t="n">
        <v>46185</v>
      </c>
      <c r="B6" s="12" t="s">
        <v>23</v>
      </c>
      <c r="C6" s="12" t="n">
        <f aca="false">COUNTIFS(Matches!$A$5:$A$200,$A6)</f>
        <v>2</v>
      </c>
      <c r="D6" s="12" t="n">
        <f aca="false">SUMIFS(Matches!$H$5:$H$200,Matches!$A$5:$A$200,$A6)</f>
        <v>1</v>
      </c>
      <c r="E6" s="12" t="n">
        <f aca="false">C6-D6</f>
        <v>1</v>
      </c>
      <c r="F6" s="16" t="n">
        <f aca="false">IF(C6=0,"",D6/C6)</f>
        <v>0.5</v>
      </c>
      <c r="G6" s="12" t="n">
        <f aca="false">SUMIFS(Matches!$H$5:$H$200,Matches!$A$5:$A$200,"&lt;="&amp;$A6)</f>
        <v>3</v>
      </c>
      <c r="H6" s="12" t="n">
        <f aca="false">COUNTIFS(Matches!$A$5:$A$200,"&lt;="&amp;$A6)</f>
        <v>4</v>
      </c>
      <c r="I6" s="16" t="n">
        <f aca="false">IF(H6=0,"",G6/H6)</f>
        <v>0.75</v>
      </c>
    </row>
    <row r="7" customFormat="false" ht="15" hidden="false" customHeight="true" outlineLevel="0" collapsed="false">
      <c r="A7" s="11" t="n">
        <v>46186</v>
      </c>
      <c r="B7" s="12" t="s">
        <v>23</v>
      </c>
      <c r="C7" s="12" t="n">
        <f aca="false">COUNTIFS(Matches!$A$5:$A$200,$A7)</f>
        <v>4</v>
      </c>
      <c r="D7" s="12" t="n">
        <f aca="false">SUMIFS(Matches!$H$5:$H$200,Matches!$A$5:$A$200,$A7)</f>
        <v>1</v>
      </c>
      <c r="E7" s="12" t="n">
        <f aca="false">C7-D7</f>
        <v>3</v>
      </c>
      <c r="F7" s="16" t="n">
        <f aca="false">IF(C7=0,"",D7/C7)</f>
        <v>0.25</v>
      </c>
      <c r="G7" s="12" t="n">
        <f aca="false">SUMIFS(Matches!$H$5:$H$200,Matches!$A$5:$A$200,"&lt;="&amp;$A7)</f>
        <v>4</v>
      </c>
      <c r="H7" s="12" t="n">
        <f aca="false">COUNTIFS(Matches!$A$5:$A$200,"&lt;="&amp;$A7)</f>
        <v>8</v>
      </c>
      <c r="I7" s="16" t="n">
        <f aca="false">IF(H7=0,"",G7/H7)</f>
        <v>0.5</v>
      </c>
    </row>
    <row r="8" customFormat="false" ht="15" hidden="false" customHeight="true" outlineLevel="0" collapsed="false">
      <c r="A8" s="11" t="n">
        <v>46187</v>
      </c>
      <c r="B8" s="12" t="s">
        <v>23</v>
      </c>
      <c r="C8" s="12" t="n">
        <f aca="false">COUNTIFS(Matches!$A$5:$A$200,$A8)</f>
        <v>4</v>
      </c>
      <c r="D8" s="12" t="n">
        <f aca="false">SUMIFS(Matches!$H$5:$H$200,Matches!$A$5:$A$200,$A8)</f>
        <v>2</v>
      </c>
      <c r="E8" s="12" t="n">
        <f aca="false">C8-D8</f>
        <v>2</v>
      </c>
      <c r="F8" s="16" t="n">
        <f aca="false">IF(C8=0,"",D8/C8)</f>
        <v>0.5</v>
      </c>
      <c r="G8" s="12" t="n">
        <f aca="false">SUMIFS(Matches!$H$5:$H$200,Matches!$A$5:$A$200,"&lt;="&amp;$A8)</f>
        <v>6</v>
      </c>
      <c r="H8" s="12" t="n">
        <f aca="false">COUNTIFS(Matches!$A$5:$A$200,"&lt;="&amp;$A8)</f>
        <v>12</v>
      </c>
      <c r="I8" s="16" t="n">
        <f aca="false">IF(H8=0,"",G8/H8)</f>
        <v>0.5</v>
      </c>
    </row>
    <row r="9" customFormat="false" ht="15" hidden="false" customHeight="true" outlineLevel="0" collapsed="false">
      <c r="A9" s="11" t="n">
        <v>46188</v>
      </c>
      <c r="B9" s="12" t="s">
        <v>23</v>
      </c>
      <c r="C9" s="12" t="n">
        <f aca="false">COUNTIFS(Matches!$A$5:$A$200,$A9)</f>
        <v>4</v>
      </c>
      <c r="D9" s="12" t="n">
        <f aca="false">SUMIFS(Matches!$H$5:$H$200,Matches!$A$5:$A$200,$A9)</f>
        <v>0</v>
      </c>
      <c r="E9" s="12" t="n">
        <f aca="false">C9-D9</f>
        <v>4</v>
      </c>
      <c r="F9" s="16" t="n">
        <f aca="false">IF(C9=0,"",D9/C9)</f>
        <v>0</v>
      </c>
      <c r="G9" s="12" t="n">
        <f aca="false">SUMIFS(Matches!$H$5:$H$200,Matches!$A$5:$A$200,"&lt;="&amp;$A9)</f>
        <v>6</v>
      </c>
      <c r="H9" s="12" t="n">
        <f aca="false">COUNTIFS(Matches!$A$5:$A$200,"&lt;="&amp;$A9)</f>
        <v>16</v>
      </c>
      <c r="I9" s="16" t="n">
        <f aca="false">IF(H9=0,"",G9/H9)</f>
        <v>0.375</v>
      </c>
    </row>
    <row r="10" customFormat="false" ht="15" hidden="false" customHeight="true" outlineLevel="0" collapsed="false">
      <c r="A10" s="11" t="n">
        <v>46189</v>
      </c>
      <c r="B10" s="12" t="s">
        <v>23</v>
      </c>
      <c r="C10" s="12" t="n">
        <f aca="false">COUNTIFS(Matches!$A$5:$A$200,$A10)</f>
        <v>4</v>
      </c>
      <c r="D10" s="12" t="n">
        <f aca="false">SUMIFS(Matches!$H$5:$H$200,Matches!$A$5:$A$200,$A10)</f>
        <v>4</v>
      </c>
      <c r="E10" s="12" t="n">
        <f aca="false">C10-D10</f>
        <v>0</v>
      </c>
      <c r="F10" s="16" t="n">
        <f aca="false">IF(C10=0,"",D10/C10)</f>
        <v>1</v>
      </c>
      <c r="G10" s="12" t="n">
        <f aca="false">SUMIFS(Matches!$H$5:$H$200,Matches!$A$5:$A$200,"&lt;="&amp;$A10)</f>
        <v>10</v>
      </c>
      <c r="H10" s="12" t="n">
        <f aca="false">COUNTIFS(Matches!$A$5:$A$200,"&lt;="&amp;$A10)</f>
        <v>20</v>
      </c>
      <c r="I10" s="16" t="n">
        <f aca="false">IF(H10=0,"",G10/H10)</f>
        <v>0.5</v>
      </c>
    </row>
    <row r="11" customFormat="false" ht="15" hidden="false" customHeight="true" outlineLevel="0" collapsed="false">
      <c r="A11" s="11" t="n">
        <v>46190</v>
      </c>
      <c r="B11" s="12" t="s">
        <v>23</v>
      </c>
      <c r="C11" s="12" t="n">
        <f aca="false">COUNTIFS(Matches!$A$5:$A$200,$A11)</f>
        <v>4</v>
      </c>
      <c r="D11" s="12" t="n">
        <f aca="false">SUMIFS(Matches!$H$5:$H$200,Matches!$A$5:$A$200,$A11)</f>
        <v>3</v>
      </c>
      <c r="E11" s="12" t="n">
        <f aca="false">C11-D11</f>
        <v>1</v>
      </c>
      <c r="F11" s="16" t="n">
        <f aca="false">IF(C11=0,"",D11/C11)</f>
        <v>0.75</v>
      </c>
      <c r="G11" s="12" t="n">
        <f aca="false">SUMIFS(Matches!$H$5:$H$200,Matches!$A$5:$A$200,"&lt;="&amp;$A11)</f>
        <v>13</v>
      </c>
      <c r="H11" s="12" t="n">
        <f aca="false">COUNTIFS(Matches!$A$5:$A$200,"&lt;="&amp;$A11)</f>
        <v>24</v>
      </c>
      <c r="I11" s="16" t="n">
        <f aca="false">IF(H11=0,"",G11/H11)</f>
        <v>0.541666666666667</v>
      </c>
    </row>
    <row r="12" customFormat="false" ht="15" hidden="false" customHeight="true" outlineLevel="0" collapsed="false">
      <c r="A12" s="11" t="n">
        <v>46191</v>
      </c>
      <c r="B12" s="12" t="s">
        <v>114</v>
      </c>
      <c r="C12" s="12" t="n">
        <f aca="false">COUNTIFS(Matches!$A$5:$A$200,$A12)</f>
        <v>4</v>
      </c>
      <c r="D12" s="12" t="n">
        <f aca="false">SUMIFS(Matches!$H$5:$H$200,Matches!$A$5:$A$200,$A12)</f>
        <v>3</v>
      </c>
      <c r="E12" s="12" t="n">
        <f aca="false">C12-D12</f>
        <v>1</v>
      </c>
      <c r="F12" s="16" t="n">
        <f aca="false">IF(C12=0,"",D12/C12)</f>
        <v>0.75</v>
      </c>
      <c r="G12" s="12" t="n">
        <f aca="false">SUMIFS(Matches!$H$5:$H$200,Matches!$A$5:$A$200,"&lt;="&amp;$A12)</f>
        <v>16</v>
      </c>
      <c r="H12" s="12" t="n">
        <f aca="false">COUNTIFS(Matches!$A$5:$A$200,"&lt;="&amp;$A12)</f>
        <v>28</v>
      </c>
      <c r="I12" s="16" t="n">
        <f aca="false">IF(H12=0,"",G12/H12)</f>
        <v>0.571428571428571</v>
      </c>
    </row>
    <row r="13" customFormat="false" ht="15" hidden="false" customHeight="true" outlineLevel="0" collapsed="false">
      <c r="A13" s="11" t="n">
        <v>46192</v>
      </c>
      <c r="B13" s="12" t="s">
        <v>114</v>
      </c>
      <c r="C13" s="12" t="n">
        <f aca="false">COUNTIFS(Matches!$A$5:$A$200,$A13)</f>
        <v>4</v>
      </c>
      <c r="D13" s="12" t="n">
        <f aca="false">SUMIFS(Matches!$H$5:$H$200,Matches!$A$5:$A$200,$A13)</f>
        <v>3</v>
      </c>
      <c r="E13" s="12" t="n">
        <f aca="false">C13-D13</f>
        <v>1</v>
      </c>
      <c r="F13" s="16" t="n">
        <f aca="false">IF(C13=0,"",D13/C13)</f>
        <v>0.75</v>
      </c>
      <c r="G13" s="12" t="n">
        <f aca="false">SUMIFS(Matches!$H$5:$H$200,Matches!$A$5:$A$200,"&lt;="&amp;$A13)</f>
        <v>19</v>
      </c>
      <c r="H13" s="12" t="n">
        <f aca="false">COUNTIFS(Matches!$A$5:$A$200,"&lt;="&amp;$A13)</f>
        <v>32</v>
      </c>
      <c r="I13" s="16" t="n">
        <f aca="false">IF(H13=0,"",G13/H13)</f>
        <v>0.59375</v>
      </c>
    </row>
    <row r="14" customFormat="false" ht="15" hidden="false" customHeight="true" outlineLevel="0" collapsed="false">
      <c r="A14" s="11" t="n">
        <v>46193</v>
      </c>
      <c r="B14" s="12" t="s">
        <v>114</v>
      </c>
      <c r="C14" s="12" t="n">
        <f aca="false">COUNTIFS(Matches!$A$5:$A$200,$A14)</f>
        <v>3</v>
      </c>
      <c r="D14" s="12" t="n">
        <f aca="false">SUMIFS(Matches!$H$5:$H$200,Matches!$A$5:$A$200,$A14)</f>
        <v>2</v>
      </c>
      <c r="E14" s="12" t="n">
        <f aca="false">C14-D14</f>
        <v>1</v>
      </c>
      <c r="F14" s="16" t="n">
        <f aca="false">IF(C14=0,"",D14/C14)</f>
        <v>0.666666666666667</v>
      </c>
      <c r="G14" s="12" t="n">
        <f aca="false">SUMIFS(Matches!$H$5:$H$200,Matches!$A$5:$A$200,"&lt;="&amp;$A14)</f>
        <v>21</v>
      </c>
      <c r="H14" s="12" t="n">
        <f aca="false">COUNTIFS(Matches!$A$5:$A$200,"&lt;="&amp;$A14)</f>
        <v>35</v>
      </c>
      <c r="I14" s="16" t="n">
        <f aca="false">IF(H14=0,"",G14/H14)</f>
        <v>0.6</v>
      </c>
    </row>
    <row r="15" customFormat="false" ht="15" hidden="false" customHeight="true" outlineLevel="0" collapsed="false">
      <c r="A15" s="11" t="n">
        <v>46194</v>
      </c>
      <c r="B15" s="12" t="s">
        <v>114</v>
      </c>
      <c r="C15" s="12" t="n">
        <f aca="false">COUNTIFS(Matches!$A$5:$A$200,$A15)</f>
        <v>5</v>
      </c>
      <c r="D15" s="12" t="n">
        <f aca="false">SUMIFS(Matches!$H$5:$H$200,Matches!$A$5:$A$200,$A15)</f>
        <v>3</v>
      </c>
      <c r="E15" s="12" t="n">
        <f aca="false">C15-D15</f>
        <v>2</v>
      </c>
      <c r="F15" s="16" t="n">
        <f aca="false">IF(C15=0,"",D15/C15)</f>
        <v>0.6</v>
      </c>
      <c r="G15" s="12" t="n">
        <f aca="false">SUMIFS(Matches!$H$5:$H$200,Matches!$A$5:$A$200,"&lt;="&amp;$A15)</f>
        <v>24</v>
      </c>
      <c r="H15" s="12" t="n">
        <f aca="false">COUNTIFS(Matches!$A$5:$A$200,"&lt;="&amp;$A15)</f>
        <v>40</v>
      </c>
      <c r="I15" s="16" t="n">
        <f aca="false">IF(H15=0,"",G15/H15)</f>
        <v>0.6</v>
      </c>
    </row>
    <row r="16" customFormat="false" ht="15" hidden="false" customHeight="true" outlineLevel="0" collapsed="false">
      <c r="A16" s="11" t="n">
        <v>46195</v>
      </c>
      <c r="B16" s="12" t="s">
        <v>114</v>
      </c>
      <c r="C16" s="12" t="n">
        <f aca="false">COUNTIFS(Matches!$A$5:$A$200,$A16)</f>
        <v>4</v>
      </c>
      <c r="D16" s="12" t="n">
        <f aca="false">SUMIFS(Matches!$H$5:$H$200,Matches!$A$5:$A$200,$A16)</f>
        <v>4</v>
      </c>
      <c r="E16" s="12" t="n">
        <f aca="false">C16-D16</f>
        <v>0</v>
      </c>
      <c r="F16" s="16" t="n">
        <f aca="false">IF(C16=0,"",D16/C16)</f>
        <v>1</v>
      </c>
      <c r="G16" s="12" t="n">
        <f aca="false">SUMIFS(Matches!$H$5:$H$200,Matches!$A$5:$A$200,"&lt;="&amp;$A16)</f>
        <v>28</v>
      </c>
      <c r="H16" s="12" t="n">
        <f aca="false">COUNTIFS(Matches!$A$5:$A$200,"&lt;="&amp;$A16)</f>
        <v>44</v>
      </c>
      <c r="I16" s="16" t="n">
        <f aca="false">IF(H16=0,"",G16/H16)</f>
        <v>0.636363636363636</v>
      </c>
    </row>
    <row r="17" customFormat="false" ht="15" hidden="false" customHeight="true" outlineLevel="0" collapsed="false">
      <c r="A17" s="11" t="n">
        <v>46196</v>
      </c>
      <c r="B17" s="12" t="s">
        <v>114</v>
      </c>
      <c r="C17" s="12" t="n">
        <f aca="false">COUNTIFS(Matches!$A$5:$A$200,$A17)</f>
        <v>4</v>
      </c>
      <c r="D17" s="12" t="n">
        <f aca="false">SUMIFS(Matches!$H$5:$H$200,Matches!$A$5:$A$200,$A17)</f>
        <v>3</v>
      </c>
      <c r="E17" s="12" t="n">
        <f aca="false">C17-D17</f>
        <v>1</v>
      </c>
      <c r="F17" s="16" t="n">
        <f aca="false">IF(C17=0,"",D17/C17)</f>
        <v>0.75</v>
      </c>
      <c r="G17" s="12" t="n">
        <f aca="false">SUMIFS(Matches!$H$5:$H$200,Matches!$A$5:$A$200,"&lt;="&amp;$A17)</f>
        <v>31</v>
      </c>
      <c r="H17" s="12" t="n">
        <f aca="false">COUNTIFS(Matches!$A$5:$A$200,"&lt;="&amp;$A17)</f>
        <v>48</v>
      </c>
      <c r="I17" s="16" t="n">
        <f aca="false">IF(H17=0,"",G17/H17)</f>
        <v>0.645833333333333</v>
      </c>
    </row>
    <row r="18" customFormat="false" ht="15" hidden="false" customHeight="true" outlineLevel="0" collapsed="false">
      <c r="A18" s="11" t="n">
        <v>46197</v>
      </c>
      <c r="B18" s="12" t="s">
        <v>157</v>
      </c>
      <c r="C18" s="12" t="n">
        <f aca="false">COUNTIFS(Matches!$A$5:$A$200,$A18)</f>
        <v>6</v>
      </c>
      <c r="D18" s="12" t="n">
        <f aca="false">SUMIFS(Matches!$H$5:$H$200,Matches!$A$5:$A$200,$A18)</f>
        <v>4</v>
      </c>
      <c r="E18" s="12" t="n">
        <f aca="false">C18-D18</f>
        <v>2</v>
      </c>
      <c r="F18" s="16" t="n">
        <f aca="false">IF(C18=0,"",D18/C18)</f>
        <v>0.666666666666667</v>
      </c>
      <c r="G18" s="12" t="n">
        <f aca="false">SUMIFS(Matches!$H$5:$H$200,Matches!$A$5:$A$200,"&lt;="&amp;$A18)</f>
        <v>35</v>
      </c>
      <c r="H18" s="12" t="n">
        <f aca="false">COUNTIFS(Matches!$A$5:$A$200,"&lt;="&amp;$A18)</f>
        <v>54</v>
      </c>
      <c r="I18" s="16" t="n">
        <f aca="false">IF(H18=0,"",G18/H18)</f>
        <v>0.648148148148148</v>
      </c>
    </row>
    <row r="19" customFormat="false" ht="15" hidden="false" customHeight="true" outlineLevel="0" collapsed="false">
      <c r="A19" s="11" t="n">
        <v>46198</v>
      </c>
      <c r="B19" s="12" t="s">
        <v>157</v>
      </c>
      <c r="C19" s="12" t="n">
        <f aca="false">COUNTIFS(Matches!$A$5:$A$200,$A19)</f>
        <v>6</v>
      </c>
      <c r="D19" s="12" t="n">
        <f aca="false">SUMIFS(Matches!$H$5:$H$200,Matches!$A$5:$A$200,$A19)</f>
        <v>2</v>
      </c>
      <c r="E19" s="12" t="n">
        <f aca="false">C19-D19</f>
        <v>4</v>
      </c>
      <c r="F19" s="16" t="n">
        <f aca="false">IF(C19=0,"",D19/C19)</f>
        <v>0.333333333333333</v>
      </c>
      <c r="G19" s="12" t="n">
        <f aca="false">SUMIFS(Matches!$H$5:$H$200,Matches!$A$5:$A$200,"&lt;="&amp;$A19)</f>
        <v>37</v>
      </c>
      <c r="H19" s="12" t="n">
        <f aca="false">COUNTIFS(Matches!$A$5:$A$200,"&lt;="&amp;$A19)</f>
        <v>60</v>
      </c>
      <c r="I19" s="16" t="n">
        <f aca="false">IF(H19=0,"",G19/H19)</f>
        <v>0.616666666666667</v>
      </c>
    </row>
    <row r="20" customFormat="false" ht="15" hidden="false" customHeight="true" outlineLevel="0" collapsed="false">
      <c r="A20" s="11" t="n">
        <v>46199</v>
      </c>
      <c r="B20" s="12" t="s">
        <v>157</v>
      </c>
      <c r="C20" s="12" t="n">
        <f aca="false">COUNTIFS(Matches!$A$5:$A$200,$A20)</f>
        <v>6</v>
      </c>
      <c r="D20" s="12" t="n">
        <f aca="false">SUMIFS(Matches!$H$5:$H$200,Matches!$A$5:$A$200,$A20)</f>
        <v>4</v>
      </c>
      <c r="E20" s="12" t="n">
        <f aca="false">C20-D20</f>
        <v>2</v>
      </c>
      <c r="F20" s="16" t="n">
        <f aca="false">IF(C20=0,"",D20/C20)</f>
        <v>0.666666666666667</v>
      </c>
      <c r="G20" s="12" t="n">
        <f aca="false">SUMIFS(Matches!$H$5:$H$200,Matches!$A$5:$A$200,"&lt;="&amp;$A20)</f>
        <v>41</v>
      </c>
      <c r="H20" s="12" t="n">
        <f aca="false">COUNTIFS(Matches!$A$5:$A$200,"&lt;="&amp;$A20)</f>
        <v>66</v>
      </c>
      <c r="I20" s="16" t="n">
        <f aca="false">IF(H20=0,"",G20/H20)</f>
        <v>0.621212121212121</v>
      </c>
    </row>
    <row r="21" customFormat="false" ht="15" hidden="false" customHeight="true" outlineLevel="0" collapsed="false">
      <c r="A21" s="11" t="n">
        <v>46200</v>
      </c>
      <c r="B21" s="12" t="s">
        <v>157</v>
      </c>
      <c r="C21" s="12" t="n">
        <f aca="false">COUNTIFS(Matches!$A$5:$A$200,$A21)</f>
        <v>6</v>
      </c>
      <c r="D21" s="12" t="n">
        <f aca="false">SUMIFS(Matches!$H$5:$H$200,Matches!$A$5:$A$200,$A21)</f>
        <v>4</v>
      </c>
      <c r="E21" s="12" t="n">
        <f aca="false">C21-D21</f>
        <v>2</v>
      </c>
      <c r="F21" s="16" t="n">
        <f aca="false">IF(C21=0,"",D21/C21)</f>
        <v>0.666666666666667</v>
      </c>
      <c r="G21" s="12" t="n">
        <f aca="false">SUMIFS(Matches!$H$5:$H$200,Matches!$A$5:$A$200,"&lt;="&amp;$A21)</f>
        <v>45</v>
      </c>
      <c r="H21" s="12" t="n">
        <f aca="false">COUNTIFS(Matches!$A$5:$A$200,"&lt;="&amp;$A21)</f>
        <v>72</v>
      </c>
      <c r="I21" s="16" t="n">
        <f aca="false">IF(H21=0,"",G21/H21)</f>
        <v>0.625</v>
      </c>
    </row>
    <row r="22" customFormat="false" ht="15" hidden="false" customHeight="true" outlineLevel="0" collapsed="false">
      <c r="A22" s="17" t="s">
        <v>205</v>
      </c>
      <c r="B22" s="17"/>
      <c r="C22" s="17" t="n">
        <f aca="false">SUM(C5:C21)</f>
        <v>72</v>
      </c>
      <c r="D22" s="17" t="n">
        <f aca="false">SUM(D5:D21)</f>
        <v>45</v>
      </c>
      <c r="E22" s="17" t="n">
        <f aca="false">SUM(E5:E21)</f>
        <v>27</v>
      </c>
      <c r="F22" s="7" t="n">
        <f aca="false">IF(C22=0,"",D22/C22)</f>
        <v>0.625</v>
      </c>
      <c r="G22" s="17"/>
      <c r="H22" s="17"/>
      <c r="I22" s="7" t="n">
        <f aca="false">IF(C22=0,"",D22/C22)</f>
        <v>0.625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6"/>
    <col collapsed="false" customWidth="true" hidden="false" outlineLevel="0" max="3" min="3" style="1" width="20"/>
    <col collapsed="false" customWidth="true" hidden="false" outlineLevel="0" max="4" min="4" style="1" width="13"/>
    <col collapsed="false" customWidth="true" hidden="false" outlineLevel="0" max="5" min="5" style="1" width="12"/>
    <col collapsed="false" customWidth="true" hidden="false" outlineLevel="0" max="6" min="6" style="1" width="15"/>
    <col collapsed="false" customWidth="true" hidden="false" outlineLevel="0" max="8" min="7" style="1" width="11"/>
    <col collapsed="false" customWidth="true" hidden="false" outlineLevel="0" max="10" min="9" style="1" width="12"/>
  </cols>
  <sheetData>
    <row r="1" customFormat="false" ht="17.25" hidden="false" customHeight="true" outlineLevel="0" collapsed="false">
      <c r="A1" s="2" t="s">
        <v>206</v>
      </c>
    </row>
    <row r="2" customFormat="false" ht="15" hidden="false" customHeight="true" outlineLevel="0" collapsed="false">
      <c r="A2" s="3" t="s">
        <v>207</v>
      </c>
    </row>
    <row r="4" customFormat="false" ht="15" hidden="false" customHeight="true" outlineLevel="0" collapsed="false">
      <c r="A4" s="10" t="s">
        <v>14</v>
      </c>
      <c r="B4" s="10" t="s">
        <v>16</v>
      </c>
      <c r="C4" s="10" t="s">
        <v>208</v>
      </c>
      <c r="D4" s="10" t="s">
        <v>209</v>
      </c>
      <c r="E4" s="10" t="s">
        <v>210</v>
      </c>
      <c r="F4" s="10" t="s">
        <v>211</v>
      </c>
      <c r="G4" s="10" t="s">
        <v>212</v>
      </c>
      <c r="H4" s="10" t="s">
        <v>213</v>
      </c>
      <c r="I4" s="10" t="s">
        <v>214</v>
      </c>
      <c r="J4" s="10" t="s">
        <v>215</v>
      </c>
    </row>
    <row r="5" customFormat="false" ht="15" hidden="false" customHeight="true" outlineLevel="0" collapsed="false">
      <c r="A5" s="18" t="n">
        <v>46201</v>
      </c>
      <c r="B5" s="13" t="s">
        <v>216</v>
      </c>
      <c r="C5" s="13" t="s">
        <v>33</v>
      </c>
      <c r="D5" s="14" t="s">
        <v>66</v>
      </c>
      <c r="E5" s="12" t="s">
        <v>217</v>
      </c>
      <c r="F5" s="13" t="s">
        <v>33</v>
      </c>
      <c r="G5" s="12" t="str">
        <f aca="false">IF($B5="","",IF($E5="FT","No","Yes"))</f>
        <v>No</v>
      </c>
      <c r="H5" s="15" t="n">
        <f aca="false">IF($B5="","",IF($C5=$F5,1,0))</f>
        <v>1</v>
      </c>
      <c r="I5" s="15" t="n">
        <f aca="false">IF($B5="","",IF(AND($E5="FT",$C5=$F5),1,0))</f>
        <v>1</v>
      </c>
      <c r="J5" s="12" t="str">
        <f aca="false">IF($B5="","",IF($G5="Yes",IF($C5=$F5,1,0),""))</f>
        <v/>
      </c>
    </row>
    <row r="6" customFormat="false" ht="15" hidden="false" customHeight="true" outlineLevel="0" collapsed="false">
      <c r="A6" s="18" t="n">
        <v>46202</v>
      </c>
      <c r="B6" s="13" t="s">
        <v>218</v>
      </c>
      <c r="C6" s="13" t="s">
        <v>45</v>
      </c>
      <c r="D6" s="14" t="s">
        <v>31</v>
      </c>
      <c r="E6" s="12" t="s">
        <v>217</v>
      </c>
      <c r="F6" s="13" t="s">
        <v>45</v>
      </c>
      <c r="G6" s="12" t="str">
        <f aca="false">IF($B6="","",IF($E6="FT","No","Yes"))</f>
        <v>No</v>
      </c>
      <c r="H6" s="15" t="n">
        <f aca="false">IF($B6="","",IF($C6=$F6,1,0))</f>
        <v>1</v>
      </c>
      <c r="I6" s="15" t="n">
        <f aca="false">IF($B6="","",IF(AND($E6="FT",$C6=$F6),1,0))</f>
        <v>1</v>
      </c>
      <c r="J6" s="12" t="str">
        <f aca="false">IF($B6="","",IF($G6="Yes",IF($C6=$F6,1,0),""))</f>
        <v/>
      </c>
    </row>
    <row r="7" customFormat="false" ht="15" hidden="false" customHeight="true" outlineLevel="0" collapsed="false">
      <c r="A7" s="18" t="n">
        <v>46202</v>
      </c>
      <c r="B7" s="13" t="s">
        <v>219</v>
      </c>
      <c r="C7" s="13" t="s">
        <v>56</v>
      </c>
      <c r="D7" s="14" t="s">
        <v>35</v>
      </c>
      <c r="E7" s="12" t="s">
        <v>220</v>
      </c>
      <c r="F7" s="13" t="s">
        <v>130</v>
      </c>
      <c r="G7" s="12" t="str">
        <f aca="false">IF($B7="","",IF($E7="FT","No","Yes"))</f>
        <v>Yes</v>
      </c>
      <c r="H7" s="15" t="n">
        <f aca="false">IF($B7="","",IF($C7=$F7,1,0))</f>
        <v>0</v>
      </c>
      <c r="I7" s="15" t="n">
        <f aca="false">IF($B7="","",IF(AND($E7="FT",$C7=$F7),1,0))</f>
        <v>0</v>
      </c>
      <c r="J7" s="12" t="n">
        <f aca="false">IF($B7="","",IF($G7="Yes",IF($C7=$F7,1,0),""))</f>
        <v>0</v>
      </c>
    </row>
    <row r="8" customFormat="false" ht="15" hidden="false" customHeight="true" outlineLevel="0" collapsed="false">
      <c r="A8" s="18" t="n">
        <v>46202</v>
      </c>
      <c r="B8" s="13" t="s">
        <v>221</v>
      </c>
      <c r="C8" s="13" t="s">
        <v>60</v>
      </c>
      <c r="D8" s="14" t="s">
        <v>35</v>
      </c>
      <c r="E8" s="12" t="s">
        <v>220</v>
      </c>
      <c r="F8" s="13" t="s">
        <v>126</v>
      </c>
      <c r="G8" s="12" t="str">
        <f aca="false">IF($B8="","",IF($E8="FT","No","Yes"))</f>
        <v>Yes</v>
      </c>
      <c r="H8" s="15" t="n">
        <f aca="false">IF($B8="","",IF($C8=$F8,1,0))</f>
        <v>0</v>
      </c>
      <c r="I8" s="15" t="n">
        <f aca="false">IF($B8="","",IF(AND($E8="FT",$C8=$F8),1,0))</f>
        <v>0</v>
      </c>
      <c r="J8" s="12" t="n">
        <f aca="false">IF($B8="","",IF($G8="Yes",IF($C8=$F8,1,0),""))</f>
        <v>0</v>
      </c>
    </row>
    <row r="9" customFormat="false" ht="15" hidden="false" customHeight="true" outlineLevel="0" collapsed="false">
      <c r="A9" s="18" t="n">
        <v>46203</v>
      </c>
      <c r="B9" s="13" t="s">
        <v>222</v>
      </c>
      <c r="C9" s="13" t="s">
        <v>90</v>
      </c>
      <c r="D9" s="14" t="s">
        <v>31</v>
      </c>
      <c r="E9" s="12" t="s">
        <v>217</v>
      </c>
      <c r="F9" s="13" t="s">
        <v>90</v>
      </c>
      <c r="G9" s="12" t="str">
        <f aca="false">IF($B9="","",IF($E9="FT","No","Yes"))</f>
        <v>No</v>
      </c>
      <c r="H9" s="15" t="n">
        <f aca="false">IF($B9="","",IF($C9=$F9,1,0))</f>
        <v>1</v>
      </c>
      <c r="I9" s="15" t="n">
        <f aca="false">IF($B9="","",IF(AND($E9="FT",$C9=$F9),1,0))</f>
        <v>1</v>
      </c>
      <c r="J9" s="12" t="str">
        <f aca="false">IF($B9="","",IF($G9="Yes",IF($C9=$F9,1,0),""))</f>
        <v/>
      </c>
    </row>
    <row r="10" customFormat="false" ht="15" hidden="false" customHeight="true" outlineLevel="0" collapsed="false">
      <c r="A10" s="18" t="n">
        <v>46203</v>
      </c>
      <c r="B10" s="13" t="s">
        <v>223</v>
      </c>
      <c r="C10" s="13" t="s">
        <v>86</v>
      </c>
      <c r="D10" s="14" t="s">
        <v>96</v>
      </c>
      <c r="E10" s="12" t="s">
        <v>217</v>
      </c>
      <c r="F10" s="13" t="s">
        <v>86</v>
      </c>
      <c r="G10" s="12" t="str">
        <f aca="false">IF($B10="","",IF($E10="FT","No","Yes"))</f>
        <v>No</v>
      </c>
      <c r="H10" s="15" t="n">
        <f aca="false">IF($B10="","",IF($C10=$F10,1,0))</f>
        <v>1</v>
      </c>
      <c r="I10" s="15" t="n">
        <f aca="false">IF($B10="","",IF(AND($E10="FT",$C10=$F10),1,0))</f>
        <v>1</v>
      </c>
      <c r="J10" s="12" t="str">
        <f aca="false">IF($B10="","",IF($G10="Yes",IF($C10=$F10,1,0),""))</f>
        <v/>
      </c>
    </row>
    <row r="11" customFormat="false" ht="15" hidden="false" customHeight="true" outlineLevel="0" collapsed="false">
      <c r="A11" s="18" t="n">
        <v>46203</v>
      </c>
      <c r="B11" s="13" t="s">
        <v>224</v>
      </c>
      <c r="C11" s="13" t="s">
        <v>25</v>
      </c>
      <c r="D11" s="14" t="s">
        <v>27</v>
      </c>
      <c r="E11" s="12" t="s">
        <v>217</v>
      </c>
      <c r="F11" s="13" t="s">
        <v>25</v>
      </c>
      <c r="G11" s="12" t="str">
        <f aca="false">IF($B11="","",IF($E11="FT","No","Yes"))</f>
        <v>No</v>
      </c>
      <c r="H11" s="15" t="n">
        <f aca="false">IF($B11="","",IF($C11=$F11,1,0))</f>
        <v>1</v>
      </c>
      <c r="I11" s="15" t="n">
        <f aca="false">IF($B11="","",IF(AND($E11="FT",$C11=$F11),1,0))</f>
        <v>1</v>
      </c>
      <c r="J11" s="12" t="str">
        <f aca="false">IF($B11="","",IF($G11="Yes",IF($C11=$F11,1,0),""))</f>
        <v/>
      </c>
    </row>
    <row r="12" customFormat="false" ht="15" hidden="false" customHeight="true" outlineLevel="0" collapsed="false">
      <c r="A12" s="18" t="n">
        <v>46204</v>
      </c>
      <c r="B12" s="13" t="s">
        <v>225</v>
      </c>
      <c r="C12" s="13" t="s">
        <v>104</v>
      </c>
      <c r="D12" s="14" t="s">
        <v>31</v>
      </c>
      <c r="E12" s="12" t="s">
        <v>217</v>
      </c>
      <c r="F12" s="13" t="s">
        <v>104</v>
      </c>
      <c r="G12" s="12" t="str">
        <f aca="false">IF($B12="","",IF($E12="FT","No","Yes"))</f>
        <v>No</v>
      </c>
      <c r="H12" s="15" t="n">
        <f aca="false">IF($B12="","",IF($C12=$F12,1,0))</f>
        <v>1</v>
      </c>
      <c r="I12" s="15" t="n">
        <f aca="false">IF($B12="","",IF(AND($E12="FT",$C12=$F12),1,0))</f>
        <v>1</v>
      </c>
      <c r="J12" s="12" t="str">
        <f aca="false">IF($B12="","",IF($G12="Yes",IF($C12=$F12,1,0),""))</f>
        <v/>
      </c>
    </row>
    <row r="13" customFormat="false" ht="15" hidden="false" customHeight="true" outlineLevel="0" collapsed="false">
      <c r="A13" s="18" t="n">
        <v>46204</v>
      </c>
      <c r="B13" s="13" t="s">
        <v>226</v>
      </c>
      <c r="C13" s="13" t="s">
        <v>77</v>
      </c>
      <c r="D13" s="14" t="s">
        <v>62</v>
      </c>
      <c r="E13" s="12" t="s">
        <v>227</v>
      </c>
      <c r="F13" s="13" t="s">
        <v>77</v>
      </c>
      <c r="G13" s="12" t="str">
        <f aca="false">IF($B13="","",IF($E13="FT","No","Yes"))</f>
        <v>Yes</v>
      </c>
      <c r="H13" s="15" t="n">
        <f aca="false">IF($B13="","",IF($C13=$F13,1,0))</f>
        <v>1</v>
      </c>
      <c r="I13" s="15" t="n">
        <f aca="false">IF($B13="","",IF(AND($E13="FT",$C13=$F13),1,0))</f>
        <v>0</v>
      </c>
      <c r="J13" s="12" t="n">
        <f aca="false">IF($B13="","",IF($G13="Yes",IF($C13=$F13,1,0),""))</f>
        <v>1</v>
      </c>
    </row>
    <row r="14" customFormat="false" ht="15" hidden="false" customHeight="true" outlineLevel="0" collapsed="false">
      <c r="A14" s="18" t="n">
        <v>46204</v>
      </c>
      <c r="B14" s="13" t="s">
        <v>228</v>
      </c>
      <c r="C14" s="13" t="s">
        <v>38</v>
      </c>
      <c r="D14" s="14" t="s">
        <v>27</v>
      </c>
      <c r="E14" s="12" t="s">
        <v>217</v>
      </c>
      <c r="F14" s="13" t="s">
        <v>38</v>
      </c>
      <c r="G14" s="12" t="str">
        <f aca="false">IF($B14="","",IF($E14="FT","No","Yes"))</f>
        <v>No</v>
      </c>
      <c r="H14" s="15" t="n">
        <f aca="false">IF($B14="","",IF($C14=$F14,1,0))</f>
        <v>1</v>
      </c>
      <c r="I14" s="15" t="n">
        <f aca="false">IF($B14="","",IF(AND($E14="FT",$C14=$F14),1,0))</f>
        <v>1</v>
      </c>
      <c r="J14" s="12" t="str">
        <f aca="false">IF($B14="","",IF($G14="Yes",IF($C14=$F14,1,0),""))</f>
        <v/>
      </c>
    </row>
    <row r="15" customFormat="false" ht="15" hidden="false" customHeight="true" outlineLevel="0" collapsed="false">
      <c r="A15" s="18" t="n">
        <v>46205</v>
      </c>
      <c r="B15" s="13" t="s">
        <v>229</v>
      </c>
      <c r="C15" s="13" t="s">
        <v>73</v>
      </c>
      <c r="D15" s="14" t="s">
        <v>96</v>
      </c>
      <c r="E15" s="12" t="s">
        <v>217</v>
      </c>
      <c r="F15" s="13" t="s">
        <v>73</v>
      </c>
      <c r="G15" s="12" t="str">
        <f aca="false">IF($B15="","",IF($E15="FT","No","Yes"))</f>
        <v>No</v>
      </c>
      <c r="H15" s="15" t="n">
        <f aca="false">IF($B15="","",IF($C15=$F15,1,0))</f>
        <v>1</v>
      </c>
      <c r="I15" s="15" t="n">
        <f aca="false">IF($B15="","",IF(AND($E15="FT",$C15=$F15),1,0))</f>
        <v>1</v>
      </c>
      <c r="J15" s="12" t="str">
        <f aca="false">IF($B15="","",IF($G15="Yes",IF($C15=$F15,1,0),""))</f>
        <v/>
      </c>
    </row>
    <row r="16" customFormat="false" ht="15" hidden="false" customHeight="true" outlineLevel="0" collapsed="false">
      <c r="A16" s="18" t="n">
        <v>46205</v>
      </c>
      <c r="B16" s="13" t="s">
        <v>230</v>
      </c>
      <c r="C16" s="13" t="s">
        <v>101</v>
      </c>
      <c r="D16" s="14" t="s">
        <v>31</v>
      </c>
      <c r="E16" s="12" t="s">
        <v>217</v>
      </c>
      <c r="F16" s="13" t="s">
        <v>101</v>
      </c>
      <c r="G16" s="12" t="str">
        <f aca="false">IF($B16="","",IF($E16="FT","No","Yes"))</f>
        <v>No</v>
      </c>
      <c r="H16" s="15" t="n">
        <f aca="false">IF($B16="","",IF($C16=$F16,1,0))</f>
        <v>1</v>
      </c>
      <c r="I16" s="15" t="n">
        <f aca="false">IF($B16="","",IF(AND($E16="FT",$C16=$F16),1,0))</f>
        <v>1</v>
      </c>
      <c r="J16" s="12" t="str">
        <f aca="false">IF($B16="","",IF($G16="Yes",IF($C16=$F16,1,0),""))</f>
        <v/>
      </c>
    </row>
    <row r="17" customFormat="false" ht="15" hidden="false" customHeight="true" outlineLevel="0" collapsed="false">
      <c r="A17" s="18" t="n">
        <v>46205</v>
      </c>
      <c r="B17" s="13" t="s">
        <v>231</v>
      </c>
      <c r="C17" s="13" t="s">
        <v>42</v>
      </c>
      <c r="D17" s="14" t="s">
        <v>27</v>
      </c>
      <c r="E17" s="12" t="s">
        <v>217</v>
      </c>
      <c r="F17" s="13" t="s">
        <v>42</v>
      </c>
      <c r="G17" s="12" t="str">
        <f aca="false">IF($B17="","",IF($E17="FT","No","Yes"))</f>
        <v>No</v>
      </c>
      <c r="H17" s="15" t="n">
        <f aca="false">IF($B17="","",IF($C17=$F17,1,0))</f>
        <v>1</v>
      </c>
      <c r="I17" s="15" t="n">
        <f aca="false">IF($B17="","",IF(AND($E17="FT",$C17=$F17),1,0))</f>
        <v>1</v>
      </c>
      <c r="J17" s="12" t="str">
        <f aca="false">IF($B17="","",IF($G17="Yes",IF($C17=$F17,1,0),""))</f>
        <v/>
      </c>
    </row>
    <row r="18" customFormat="false" ht="15" hidden="false" customHeight="true" outlineLevel="0" collapsed="false">
      <c r="A18" s="18" t="n">
        <v>46206</v>
      </c>
      <c r="B18" s="13" t="s">
        <v>232</v>
      </c>
      <c r="C18" s="13" t="s">
        <v>142</v>
      </c>
      <c r="D18" s="14" t="s">
        <v>35</v>
      </c>
      <c r="E18" s="12" t="s">
        <v>220</v>
      </c>
      <c r="F18" s="13" t="s">
        <v>142</v>
      </c>
      <c r="G18" s="12" t="str">
        <f aca="false">IF($B18="","",IF($E18="FT","No","Yes"))</f>
        <v>Yes</v>
      </c>
      <c r="H18" s="15" t="n">
        <f aca="false">IF($B18="","",IF($C18=$F18,1,0))</f>
        <v>1</v>
      </c>
      <c r="I18" s="15" t="n">
        <f aca="false">IF($B18="","",IF(AND($E18="FT",$C18=$F18),1,0))</f>
        <v>0</v>
      </c>
      <c r="J18" s="12" t="n">
        <f aca="false">IF($B18="","",IF($G18="Yes",IF($C18=$F18,1,0),""))</f>
        <v>1</v>
      </c>
    </row>
    <row r="19" customFormat="false" ht="15" hidden="false" customHeight="true" outlineLevel="0" collapsed="false">
      <c r="A19" s="18" t="n">
        <v>46206</v>
      </c>
      <c r="B19" s="13" t="s">
        <v>233</v>
      </c>
      <c r="C19" s="13" t="s">
        <v>94</v>
      </c>
      <c r="D19" s="14" t="s">
        <v>35</v>
      </c>
      <c r="E19" s="12" t="s">
        <v>227</v>
      </c>
      <c r="F19" s="13" t="s">
        <v>94</v>
      </c>
      <c r="G19" s="12" t="str">
        <f aca="false">IF($B19="","",IF($E19="FT","No","Yes"))</f>
        <v>Yes</v>
      </c>
      <c r="H19" s="15" t="n">
        <f aca="false">IF($B19="","",IF($C19=$F19,1,0))</f>
        <v>1</v>
      </c>
      <c r="I19" s="15" t="n">
        <f aca="false">IF($B19="","",IF(AND($E19="FT",$C19=$F19),1,0))</f>
        <v>0</v>
      </c>
      <c r="J19" s="12" t="n">
        <f aca="false">IF($B19="","",IF($G19="Yes",IF($C19=$F19,1,0),""))</f>
        <v>1</v>
      </c>
    </row>
    <row r="20" customFormat="false" ht="15" hidden="false" customHeight="true" outlineLevel="0" collapsed="false">
      <c r="A20" s="18" t="n">
        <v>46207</v>
      </c>
      <c r="B20" s="13" t="s">
        <v>234</v>
      </c>
      <c r="C20" s="13" t="s">
        <v>111</v>
      </c>
      <c r="D20" s="14" t="s">
        <v>66</v>
      </c>
      <c r="E20" s="12" t="s">
        <v>217</v>
      </c>
      <c r="F20" s="13" t="s">
        <v>111</v>
      </c>
      <c r="G20" s="12" t="str">
        <f aca="false">IF($B20="","",IF($E20="FT","No","Yes"))</f>
        <v>No</v>
      </c>
      <c r="H20" s="15" t="n">
        <f aca="false">IF($B20="","",IF($C20=$F20,1,0))</f>
        <v>1</v>
      </c>
      <c r="I20" s="15" t="n">
        <f aca="false">IF($B20="","",IF(AND($E20="FT",$C20=$F20),1,0))</f>
        <v>1</v>
      </c>
      <c r="J20" s="12" t="str">
        <f aca="false">IF($B20="","",IF($G20="Yes",IF($C20=$F20,1,0),""))</f>
        <v/>
      </c>
    </row>
    <row r="21" customFormat="false" ht="15" hidden="false" customHeight="true" outlineLevel="0" collapsed="false">
      <c r="G21" s="1" t="str">
        <f aca="false">IF($B21="","",IF($E21="FT","No","Yes"))</f>
        <v/>
      </c>
      <c r="H21" s="1" t="str">
        <f aca="false">IF($B21="","",IF($C21=$F21,1,0))</f>
        <v/>
      </c>
      <c r="I21" s="1" t="str">
        <f aca="false">IF($B21="","",IF(AND($E21="FT",$C21=$F21),1,0))</f>
        <v/>
      </c>
      <c r="J21" s="1" t="str">
        <f aca="false">IF($B21="","",IF($G21="Yes",IF($C21=$F21,1,0),""))</f>
        <v/>
      </c>
    </row>
    <row r="22" customFormat="false" ht="15" hidden="false" customHeight="true" outlineLevel="0" collapsed="false">
      <c r="G22" s="1" t="str">
        <f aca="false">IF($B22="","",IF($E22="FT","No","Yes"))</f>
        <v/>
      </c>
      <c r="H22" s="1" t="str">
        <f aca="false">IF($B22="","",IF($C22=$F22,1,0))</f>
        <v/>
      </c>
      <c r="I22" s="1" t="str">
        <f aca="false">IF($B22="","",IF(AND($E22="FT",$C22=$F22),1,0))</f>
        <v/>
      </c>
      <c r="J22" s="1" t="str">
        <f aca="false">IF($B22="","",IF($G22="Yes",IF($C22=$F22,1,0),""))</f>
        <v/>
      </c>
    </row>
    <row r="23" customFormat="false" ht="15" hidden="false" customHeight="true" outlineLevel="0" collapsed="false">
      <c r="G23" s="1" t="str">
        <f aca="false">IF($B23="","",IF($E23="FT","No","Yes"))</f>
        <v/>
      </c>
      <c r="H23" s="1" t="str">
        <f aca="false">IF($B23="","",IF($C23=$F23,1,0))</f>
        <v/>
      </c>
      <c r="I23" s="1" t="str">
        <f aca="false">IF($B23="","",IF(AND($E23="FT",$C23=$F23),1,0))</f>
        <v/>
      </c>
      <c r="J23" s="1" t="str">
        <f aca="false">IF($B23="","",IF($G23="Yes",IF($C23=$F23,1,0),""))</f>
        <v/>
      </c>
    </row>
    <row r="24" customFormat="false" ht="15" hidden="false" customHeight="true" outlineLevel="0" collapsed="false">
      <c r="G24" s="1" t="str">
        <f aca="false">IF($B24="","",IF($E24="FT","No","Yes"))</f>
        <v/>
      </c>
      <c r="H24" s="1" t="str">
        <f aca="false">IF($B24="","",IF($C24=$F24,1,0))</f>
        <v/>
      </c>
      <c r="I24" s="1" t="str">
        <f aca="false">IF($B24="","",IF(AND($E24="FT",$C24=$F24),1,0))</f>
        <v/>
      </c>
      <c r="J24" s="1" t="str">
        <f aca="false">IF($B24="","",IF($G24="Yes",IF($C24=$F24,1,0),""))</f>
        <v/>
      </c>
    </row>
    <row r="25" customFormat="false" ht="15" hidden="false" customHeight="true" outlineLevel="0" collapsed="false">
      <c r="G25" s="1" t="str">
        <f aca="false">IF($B25="","",IF($E25="FT","No","Yes"))</f>
        <v/>
      </c>
      <c r="H25" s="1" t="str">
        <f aca="false">IF($B25="","",IF($C25=$F25,1,0))</f>
        <v/>
      </c>
      <c r="I25" s="1" t="str">
        <f aca="false">IF($B25="","",IF(AND($E25="FT",$C25=$F25),1,0))</f>
        <v/>
      </c>
      <c r="J25" s="1" t="str">
        <f aca="false">IF($B25="","",IF($G25="Yes",IF($C25=$F25,1,0),""))</f>
        <v/>
      </c>
    </row>
    <row r="26" customFormat="false" ht="15" hidden="false" customHeight="true" outlineLevel="0" collapsed="false">
      <c r="G26" s="1" t="str">
        <f aca="false">IF($B26="","",IF($E26="FT","No","Yes"))</f>
        <v/>
      </c>
      <c r="H26" s="1" t="str">
        <f aca="false">IF($B26="","",IF($C26=$F26,1,0))</f>
        <v/>
      </c>
      <c r="I26" s="1" t="str">
        <f aca="false">IF($B26="","",IF(AND($E26="FT",$C26=$F26),1,0))</f>
        <v/>
      </c>
      <c r="J26" s="1" t="str">
        <f aca="false">IF($B26="","",IF($G26="Yes",IF($C26=$F26,1,0),""))</f>
        <v/>
      </c>
    </row>
    <row r="27" customFormat="false" ht="15" hidden="false" customHeight="true" outlineLevel="0" collapsed="false">
      <c r="G27" s="1" t="str">
        <f aca="false">IF($B27="","",IF($E27="FT","No","Yes"))</f>
        <v/>
      </c>
      <c r="H27" s="1" t="str">
        <f aca="false">IF($B27="","",IF($C27=$F27,1,0))</f>
        <v/>
      </c>
      <c r="I27" s="1" t="str">
        <f aca="false">IF($B27="","",IF(AND($E27="FT",$C27=$F27),1,0))</f>
        <v/>
      </c>
      <c r="J27" s="1" t="str">
        <f aca="false">IF($B27="","",IF($G27="Yes",IF($C27=$F27,1,0),""))</f>
        <v/>
      </c>
    </row>
    <row r="28" customFormat="false" ht="15" hidden="false" customHeight="true" outlineLevel="0" collapsed="false">
      <c r="G28" s="1" t="str">
        <f aca="false">IF($B28="","",IF($E28="FT","No","Yes"))</f>
        <v/>
      </c>
      <c r="H28" s="1" t="str">
        <f aca="false">IF($B28="","",IF($C28=$F28,1,0))</f>
        <v/>
      </c>
      <c r="I28" s="1" t="str">
        <f aca="false">IF($B28="","",IF(AND($E28="FT",$C28=$F28),1,0))</f>
        <v/>
      </c>
      <c r="J28" s="1" t="str">
        <f aca="false">IF($B28="","",IF($G28="Yes",IF($C28=$F28,1,0),""))</f>
        <v/>
      </c>
    </row>
    <row r="29" customFormat="false" ht="15" hidden="false" customHeight="true" outlineLevel="0" collapsed="false">
      <c r="G29" s="1" t="str">
        <f aca="false">IF($B29="","",IF($E29="FT","No","Yes"))</f>
        <v/>
      </c>
      <c r="H29" s="1" t="str">
        <f aca="false">IF($B29="","",IF($C29=$F29,1,0))</f>
        <v/>
      </c>
      <c r="I29" s="1" t="str">
        <f aca="false">IF($B29="","",IF(AND($E29="FT",$C29=$F29),1,0))</f>
        <v/>
      </c>
      <c r="J29" s="1" t="str">
        <f aca="false">IF($B29="","",IF($G29="Yes",IF($C29=$F29,1,0),""))</f>
        <v/>
      </c>
    </row>
    <row r="30" customFormat="false" ht="15" hidden="false" customHeight="true" outlineLevel="0" collapsed="false">
      <c r="G30" s="1" t="str">
        <f aca="false">IF($B30="","",IF($E30="FT","No","Yes"))</f>
        <v/>
      </c>
      <c r="H30" s="1" t="str">
        <f aca="false">IF($B30="","",IF($C30=$F30,1,0))</f>
        <v/>
      </c>
      <c r="I30" s="1" t="str">
        <f aca="false">IF($B30="","",IF(AND($E30="FT",$C30=$F30),1,0))</f>
        <v/>
      </c>
      <c r="J30" s="1" t="str">
        <f aca="false">IF($B30="","",IF($G30="Yes",IF($C30=$F30,1,0),""))</f>
        <v/>
      </c>
    </row>
    <row r="31" customFormat="false" ht="15" hidden="false" customHeight="true" outlineLevel="0" collapsed="false">
      <c r="G31" s="1" t="str">
        <f aca="false">IF($B31="","",IF($E31="FT","No","Yes"))</f>
        <v/>
      </c>
      <c r="H31" s="1" t="str">
        <f aca="false">IF($B31="","",IF($C31=$F31,1,0))</f>
        <v/>
      </c>
      <c r="I31" s="1" t="str">
        <f aca="false">IF($B31="","",IF(AND($E31="FT",$C31=$F31),1,0))</f>
        <v/>
      </c>
      <c r="J31" s="1" t="str">
        <f aca="false">IF($B31="","",IF($G31="Yes",IF($C31=$F31,1,0),""))</f>
        <v/>
      </c>
    </row>
    <row r="32" customFormat="false" ht="15" hidden="false" customHeight="true" outlineLevel="0" collapsed="false">
      <c r="G32" s="1" t="str">
        <f aca="false">IF($B32="","",IF($E32="FT","No","Yes"))</f>
        <v/>
      </c>
      <c r="H32" s="1" t="str">
        <f aca="false">IF($B32="","",IF($C32=$F32,1,0))</f>
        <v/>
      </c>
      <c r="I32" s="1" t="str">
        <f aca="false">IF($B32="","",IF(AND($E32="FT",$C32=$F32),1,0))</f>
        <v/>
      </c>
      <c r="J32" s="1" t="str">
        <f aca="false">IF($B32="","",IF($G32="Yes",IF($C32=$F32,1,0),""))</f>
        <v/>
      </c>
    </row>
    <row r="33" customFormat="false" ht="15" hidden="false" customHeight="true" outlineLevel="0" collapsed="false">
      <c r="G33" s="1" t="str">
        <f aca="false">IF($B33="","",IF($E33="FT","No","Yes"))</f>
        <v/>
      </c>
      <c r="H33" s="1" t="str">
        <f aca="false">IF($B33="","",IF($C33=$F33,1,0))</f>
        <v/>
      </c>
      <c r="I33" s="1" t="str">
        <f aca="false">IF($B33="","",IF(AND($E33="FT",$C33=$F33),1,0))</f>
        <v/>
      </c>
      <c r="J33" s="1" t="str">
        <f aca="false">IF($B33="","",IF($G33="Yes",IF($C33=$F33,1,0),""))</f>
        <v/>
      </c>
    </row>
    <row r="34" customFormat="false" ht="15" hidden="false" customHeight="true" outlineLevel="0" collapsed="false">
      <c r="G34" s="1" t="str">
        <f aca="false">IF($B34="","",IF($E34="FT","No","Yes"))</f>
        <v/>
      </c>
      <c r="H34" s="1" t="str">
        <f aca="false">IF($B34="","",IF($C34=$F34,1,0))</f>
        <v/>
      </c>
      <c r="I34" s="1" t="str">
        <f aca="false">IF($B34="","",IF(AND($E34="FT",$C34=$F34),1,0))</f>
        <v/>
      </c>
      <c r="J34" s="1" t="str">
        <f aca="false">IF($B34="","",IF($G34="Yes",IF($C34=$F34,1,0),""))</f>
        <v/>
      </c>
    </row>
    <row r="35" customFormat="false" ht="15" hidden="false" customHeight="true" outlineLevel="0" collapsed="false">
      <c r="G35" s="1" t="str">
        <f aca="false">IF($B35="","",IF($E35="FT","No","Yes"))</f>
        <v/>
      </c>
      <c r="H35" s="1" t="str">
        <f aca="false">IF($B35="","",IF($C35=$F35,1,0))</f>
        <v/>
      </c>
      <c r="I35" s="1" t="str">
        <f aca="false">IF($B35="","",IF(AND($E35="FT",$C35=$F35),1,0))</f>
        <v/>
      </c>
      <c r="J35" s="1" t="str">
        <f aca="false">IF($B35="","",IF($G35="Yes",IF($C35=$F35,1,0),""))</f>
        <v/>
      </c>
    </row>
    <row r="36" customFormat="false" ht="15" hidden="false" customHeight="true" outlineLevel="0" collapsed="false">
      <c r="G36" s="1" t="str">
        <f aca="false">IF($B36="","",IF($E36="FT","No","Yes"))</f>
        <v/>
      </c>
      <c r="H36" s="1" t="str">
        <f aca="false">IF($B36="","",IF($C36=$F36,1,0))</f>
        <v/>
      </c>
      <c r="I36" s="1" t="str">
        <f aca="false">IF($B36="","",IF(AND($E36="FT",$C36=$F36),1,0))</f>
        <v/>
      </c>
      <c r="J36" s="1" t="str">
        <f aca="false">IF($B36="","",IF($G36="Yes",IF($C36=$F36,1,0),""))</f>
        <v/>
      </c>
    </row>
    <row r="37" customFormat="false" ht="15" hidden="false" customHeight="true" outlineLevel="0" collapsed="false">
      <c r="G37" s="1" t="str">
        <f aca="false">IF($B37="","",IF($E37="FT","No","Yes"))</f>
        <v/>
      </c>
      <c r="H37" s="1" t="str">
        <f aca="false">IF($B37="","",IF($C37=$F37,1,0))</f>
        <v/>
      </c>
      <c r="I37" s="1" t="str">
        <f aca="false">IF($B37="","",IF(AND($E37="FT",$C37=$F37),1,0))</f>
        <v/>
      </c>
      <c r="J37" s="1" t="str">
        <f aca="false">IF($B37="","",IF($G37="Yes",IF($C37=$F37,1,0),""))</f>
        <v/>
      </c>
    </row>
    <row r="38" customFormat="false" ht="15" hidden="false" customHeight="true" outlineLevel="0" collapsed="false">
      <c r="G38" s="1" t="str">
        <f aca="false">IF($B38="","",IF($E38="FT","No","Yes"))</f>
        <v/>
      </c>
      <c r="H38" s="1" t="str">
        <f aca="false">IF($B38="","",IF($C38=$F38,1,0))</f>
        <v/>
      </c>
      <c r="I38" s="1" t="str">
        <f aca="false">IF($B38="","",IF(AND($E38="FT",$C38=$F38),1,0))</f>
        <v/>
      </c>
      <c r="J38" s="1" t="str">
        <f aca="false">IF($B38="","",IF($G38="Yes",IF($C38=$F38,1,0),""))</f>
        <v/>
      </c>
    </row>
    <row r="39" customFormat="false" ht="15" hidden="false" customHeight="true" outlineLevel="0" collapsed="false">
      <c r="G39" s="1" t="str">
        <f aca="false">IF($B39="","",IF($E39="FT","No","Yes"))</f>
        <v/>
      </c>
      <c r="H39" s="1" t="str">
        <f aca="false">IF($B39="","",IF($C39=$F39,1,0))</f>
        <v/>
      </c>
      <c r="I39" s="1" t="str">
        <f aca="false">IF($B39="","",IF(AND($E39="FT",$C39=$F39),1,0))</f>
        <v/>
      </c>
      <c r="J39" s="1" t="str">
        <f aca="false">IF($B39="","",IF($G39="Yes",IF($C39=$F39,1,0),""))</f>
        <v/>
      </c>
    </row>
    <row r="40" customFormat="false" ht="15" hidden="false" customHeight="true" outlineLevel="0" collapsed="false">
      <c r="G40" s="1" t="str">
        <f aca="false">IF($B40="","",IF($E40="FT","No","Yes"))</f>
        <v/>
      </c>
      <c r="H40" s="1" t="str">
        <f aca="false">IF($B40="","",IF($C40=$F40,1,0))</f>
        <v/>
      </c>
      <c r="I40" s="1" t="str">
        <f aca="false">IF($B40="","",IF(AND($E40="FT",$C40=$F40),1,0))</f>
        <v/>
      </c>
      <c r="J40" s="1" t="str">
        <f aca="false">IF($B40="","",IF($G40="Yes",IF($C40=$F40,1,0),""))</f>
        <v/>
      </c>
    </row>
    <row r="44" customFormat="false" ht="17.25" hidden="false" customHeight="true" outlineLevel="0" collapsed="false">
      <c r="B44" s="2" t="s">
        <v>235</v>
      </c>
    </row>
    <row r="45" customFormat="false" ht="15" hidden="false" customHeight="true" outlineLevel="0" collapsed="false">
      <c r="B45" s="10" t="s">
        <v>236</v>
      </c>
      <c r="C45" s="10" t="s">
        <v>21</v>
      </c>
      <c r="D45" s="10" t="s">
        <v>237</v>
      </c>
      <c r="E45" s="10" t="s">
        <v>238</v>
      </c>
    </row>
    <row r="46" customFormat="false" ht="15" hidden="false" customHeight="true" outlineLevel="0" collapsed="false">
      <c r="B46" s="13" t="s">
        <v>239</v>
      </c>
      <c r="C46" s="19" t="n">
        <f aca="false">SUM($H$5:$H$40)</f>
        <v>14</v>
      </c>
      <c r="D46" s="12" t="n">
        <f aca="false">COUNTA($B$5:$B$40)</f>
        <v>16</v>
      </c>
      <c r="E46" s="7" t="n">
        <f aca="false">IF(D46=0,"",C46/D46)</f>
        <v>0.875</v>
      </c>
    </row>
    <row r="47" customFormat="false" ht="15" hidden="false" customHeight="true" outlineLevel="0" collapsed="false">
      <c r="B47" s="13" t="s">
        <v>240</v>
      </c>
      <c r="C47" s="19" t="n">
        <f aca="false">SUM($I$5:$I$40)</f>
        <v>11</v>
      </c>
      <c r="D47" s="12" t="n">
        <f aca="false">COUNTA($B$5:$B$40)</f>
        <v>16</v>
      </c>
      <c r="E47" s="7" t="n">
        <f aca="false">IF(D47=0,"",C47/D47)</f>
        <v>0.6875</v>
      </c>
    </row>
    <row r="48" customFormat="false" ht="15" hidden="false" customHeight="true" outlineLevel="0" collapsed="false">
      <c r="B48" s="13" t="s">
        <v>241</v>
      </c>
      <c r="C48" s="19" t="n">
        <f aca="false">SUM($J$5:$J$40)</f>
        <v>3</v>
      </c>
      <c r="D48" s="12" t="n">
        <f aca="false">COUNTIF($G$5:$G$40,"Yes")</f>
        <v>5</v>
      </c>
      <c r="E48" s="7" t="n">
        <f aca="false">IF(D48=0,"",C48/D48)</f>
        <v>0.6</v>
      </c>
    </row>
    <row r="50" customFormat="false" ht="15" hidden="false" customHeight="true" outlineLevel="0" collapsed="false">
      <c r="B50" s="8" t="s">
        <v>242</v>
      </c>
    </row>
    <row r="51" customFormat="false" ht="15" hidden="false" customHeight="true" outlineLevel="0" collapsed="false">
      <c r="B51" s="20" t="s">
        <v>243</v>
      </c>
      <c r="C51" s="20"/>
      <c r="D51" s="20"/>
      <c r="E51" s="20"/>
      <c r="F51" s="20"/>
      <c r="G51" s="20"/>
      <c r="H51" s="20"/>
      <c r="I51" s="20"/>
    </row>
    <row r="52" customFormat="false" ht="15" hidden="false" customHeight="true" outlineLevel="0" collapsed="false">
      <c r="B52" s="20" t="s">
        <v>244</v>
      </c>
      <c r="C52" s="20"/>
      <c r="D52" s="20"/>
      <c r="E52" s="20"/>
      <c r="F52" s="20"/>
      <c r="G52" s="20"/>
      <c r="H52" s="20"/>
      <c r="I52" s="20"/>
    </row>
    <row r="53" customFormat="false" ht="15" hidden="false" customHeight="true" outlineLevel="0" collapsed="false">
      <c r="B53" s="20" t="s">
        <v>245</v>
      </c>
      <c r="C53" s="20"/>
      <c r="D53" s="20"/>
      <c r="E53" s="20"/>
      <c r="F53" s="20"/>
      <c r="G53" s="20"/>
      <c r="H53" s="20"/>
      <c r="I53" s="20"/>
    </row>
    <row r="54" customFormat="false" ht="15" hidden="false" customHeight="true" outlineLevel="0" collapsed="false">
      <c r="B54" s="20" t="s">
        <v>246</v>
      </c>
      <c r="C54" s="20"/>
      <c r="D54" s="20"/>
      <c r="E54" s="20"/>
      <c r="F54" s="20"/>
      <c r="G54" s="20"/>
      <c r="H54" s="20"/>
      <c r="I54" s="20"/>
    </row>
  </sheetData>
  <mergeCells count="4">
    <mergeCell ref="B51:I51"/>
    <mergeCell ref="B52:I52"/>
    <mergeCell ref="B53:I53"/>
    <mergeCell ref="B54:I54"/>
  </mergeCells>
  <conditionalFormatting sqref="H5:H40">
    <cfRule type="cellIs" priority="2" operator="equal" aboveAverage="0" equalAverage="0" bottom="0" percent="0" rank="0" text="" dxfId="0">
      <formula>1</formula>
    </cfRule>
    <cfRule type="cellIs" priority="3" operator="equal" aboveAverage="0" equalAverage="0" bottom="0" percent="0" rank="0" text="" dxfId="1">
      <formula>0</formula>
    </cfRule>
  </conditionalFormatting>
  <conditionalFormatting sqref="I5:I40">
    <cfRule type="cellIs" priority="4" operator="equal" aboveAverage="0" equalAverage="0" bottom="0" percent="0" rank="0" text="" dxfId="0">
      <formula>1</formula>
    </cfRule>
    <cfRule type="cellIs" priority="5" operator="equal" aboveAverage="0" equalAverage="0" bottom="0" percent="0" rank="0" text="" dxfId="1">
      <formula>0</formula>
    </cfRule>
  </conditionalFormatting>
  <conditionalFormatting sqref="J5:J40">
    <cfRule type="cellIs" priority="6" operator="equal" aboveAverage="0" equalAverage="0" bottom="0" percent="0" rank="0" text="" dxfId="0">
      <formula>1</formula>
    </cfRule>
    <cfRule type="cellIs" priority="7" operator="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1" topLeftCell="A2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9"/>
    <col collapsed="false" customWidth="true" hidden="false" outlineLevel="0" max="7" min="4" style="0" width="7"/>
    <col collapsed="false" customWidth="true" hidden="false" outlineLevel="0" max="8" min="8" style="0" width="18"/>
    <col collapsed="false" customWidth="true" hidden="false" outlineLevel="0" max="9" min="9" style="0" width="9"/>
    <col collapsed="false" customWidth="true" hidden="false" outlineLevel="0" max="12" min="10" style="0" width="7"/>
    <col collapsed="false" customWidth="true" hidden="false" outlineLevel="0" max="17" min="13" style="0" width="8"/>
    <col collapsed="false" customWidth="true" hidden="false" outlineLevel="0" max="18" min="18" style="0" width="9"/>
    <col collapsed="false" customWidth="true" hidden="false" outlineLevel="0" max="19" min="19" style="0" width="8"/>
    <col collapsed="false" customWidth="true" hidden="false" outlineLevel="0" max="20" min="20" style="0" width="9"/>
    <col collapsed="false" customWidth="true" hidden="false" outlineLevel="0" max="21" min="21" style="0" width="8"/>
  </cols>
  <sheetData>
    <row r="1" customFormat="false" ht="17.35" hidden="false" customHeight="false" outlineLevel="0" collapsed="false">
      <c r="A1" s="21" t="s">
        <v>247</v>
      </c>
    </row>
    <row r="2" customFormat="false" ht="15" hidden="false" customHeight="false" outlineLevel="0" collapsed="false">
      <c r="A2" s="22" t="s">
        <v>248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</row>
    <row r="4" customFormat="false" ht="15" hidden="false" customHeight="false" outlineLevel="0" collapsed="false">
      <c r="A4" s="23" t="s">
        <v>249</v>
      </c>
    </row>
    <row r="5" customFormat="false" ht="15" hidden="false" customHeight="false" outlineLevel="0" collapsed="false">
      <c r="A5" s="24" t="s">
        <v>250</v>
      </c>
      <c r="B5" s="25" t="n">
        <f aca="false">COUNT($E$22:$E$140)</f>
        <v>5</v>
      </c>
    </row>
    <row r="6" customFormat="false" ht="15" hidden="false" customHeight="false" outlineLevel="0" collapsed="false">
      <c r="A6" s="24" t="s">
        <v>251</v>
      </c>
      <c r="B6" s="26" t="n">
        <f aca="false">IFERROR(AVERAGE($M$22:$M$140),"")</f>
        <v>0.168167400758062</v>
      </c>
    </row>
    <row r="7" customFormat="false" ht="15" hidden="false" customHeight="false" outlineLevel="0" collapsed="false">
      <c r="A7" s="24" t="s">
        <v>252</v>
      </c>
      <c r="B7" s="26" t="n">
        <f aca="false">IFERROR(AVERAGE($N$22:$N$140),"")</f>
        <v>0.400149927745513</v>
      </c>
    </row>
    <row r="8" customFormat="false" ht="15" hidden="false" customHeight="false" outlineLevel="0" collapsed="false">
      <c r="A8" s="24" t="s">
        <v>253</v>
      </c>
      <c r="B8" s="26" t="n">
        <f aca="false">IFERROR(AVERAGE($O$22:$O$140),"")</f>
        <v>0.730600267411233</v>
      </c>
    </row>
    <row r="9" customFormat="false" ht="15" hidden="false" customHeight="false" outlineLevel="0" collapsed="false">
      <c r="A9" s="24" t="s">
        <v>254</v>
      </c>
      <c r="B9" s="26" t="n">
        <f aca="false">IFERROR(AVERAGE($Q$22:$Q$140),"")</f>
        <v>0.2</v>
      </c>
    </row>
    <row r="10" customFormat="false" ht="15" hidden="false" customHeight="false" outlineLevel="0" collapsed="false">
      <c r="A10" s="24" t="s">
        <v>255</v>
      </c>
      <c r="B10" s="26" t="n">
        <f aca="false">IFERROR(AVERAGE($S$22:$S$140),"")</f>
        <v>0.277777777777778</v>
      </c>
    </row>
    <row r="11" customFormat="false" ht="15" hidden="false" customHeight="false" outlineLevel="0" collapsed="false">
      <c r="A11" s="24" t="s">
        <v>256</v>
      </c>
      <c r="B11" s="27" t="n">
        <f aca="false">IFERROR(1-AVERAGE($Q$22:$Q$140)/AVERAGE($M$22:$M$140),"")</f>
        <v>-0.189291141436711</v>
      </c>
    </row>
    <row r="12" customFormat="false" ht="15" hidden="false" customHeight="false" outlineLevel="0" collapsed="false">
      <c r="A12" s="24" t="s">
        <v>257</v>
      </c>
      <c r="B12" s="27" t="n">
        <f aca="false">IFERROR(1-AVERAGE($M$22:$M$140)/AVERAGE($S$22:$S$140),"")</f>
        <v>0.394597357270978</v>
      </c>
    </row>
    <row r="13" customFormat="false" ht="15" hidden="false" customHeight="false" outlineLevel="0" collapsed="false">
      <c r="A13" s="24" t="s">
        <v>258</v>
      </c>
      <c r="B13" s="27" t="n">
        <f aca="false">IFERROR(AVERAGE($R$22:$R$140),"")</f>
        <v>0.372</v>
      </c>
    </row>
    <row r="14" customFormat="false" ht="15" hidden="false" customHeight="false" outlineLevel="0" collapsed="false">
      <c r="A14" s="24" t="s">
        <v>259</v>
      </c>
      <c r="B14" s="7" t="str">
        <f aca="false">IFERROR(AVERAGE($U$22:$U$140),"")</f>
        <v/>
      </c>
    </row>
    <row r="21" customFormat="false" ht="15" hidden="false" customHeight="false" outlineLevel="0" collapsed="false">
      <c r="A21" s="28" t="s">
        <v>14</v>
      </c>
      <c r="B21" s="28" t="s">
        <v>260</v>
      </c>
      <c r="C21" s="28" t="s">
        <v>261</v>
      </c>
      <c r="D21" s="28" t="s">
        <v>262</v>
      </c>
      <c r="E21" s="28" t="s">
        <v>263</v>
      </c>
      <c r="F21" s="28" t="s">
        <v>36</v>
      </c>
      <c r="G21" s="28" t="s">
        <v>264</v>
      </c>
      <c r="H21" s="28" t="s">
        <v>265</v>
      </c>
      <c r="I21" s="28" t="s">
        <v>266</v>
      </c>
      <c r="J21" s="28" t="s">
        <v>267</v>
      </c>
      <c r="K21" s="28" t="s">
        <v>268</v>
      </c>
      <c r="L21" s="28" t="s">
        <v>269</v>
      </c>
      <c r="M21" s="28" t="s">
        <v>270</v>
      </c>
      <c r="N21" s="28" t="s">
        <v>271</v>
      </c>
      <c r="O21" s="28" t="s">
        <v>272</v>
      </c>
      <c r="P21" s="28" t="s">
        <v>273</v>
      </c>
      <c r="Q21" s="28" t="s">
        <v>274</v>
      </c>
      <c r="R21" s="28" t="s">
        <v>275</v>
      </c>
      <c r="S21" s="28" t="s">
        <v>276</v>
      </c>
      <c r="T21" s="28" t="s">
        <v>277</v>
      </c>
      <c r="U21" s="28" t="s">
        <v>278</v>
      </c>
    </row>
    <row r="22" customFormat="false" ht="15" hidden="false" customHeight="false" outlineLevel="0" collapsed="false">
      <c r="A22" s="29" t="n">
        <v>46184</v>
      </c>
      <c r="B22" s="24" t="s">
        <v>24</v>
      </c>
      <c r="C22" s="30" t="s">
        <v>27</v>
      </c>
      <c r="D22" s="31" t="str">
        <f aca="false">IF($C22="","",IF(VALUE(LEFT($C22,FIND("-",$C22)-1))&gt;VALUE(MID($C22,FIND("-",$C22)+1,5)),"H",IF(VALUE(LEFT($C22,FIND("-",$C22)-1))=VALUE(MID($C22,FIND("-",$C22)+1,5)),"D","A")))</f>
        <v>H</v>
      </c>
      <c r="E22" s="31"/>
      <c r="F22" s="31"/>
      <c r="G22" s="31"/>
      <c r="H22" s="31"/>
      <c r="I22" s="32" t="str">
        <f aca="false">IF($E22="","",1/$E22+1/$F22+1/$G22)</f>
        <v/>
      </c>
      <c r="J22" s="33" t="str">
        <f aca="false">IF($E22="","",(1/$E22)/$I22)</f>
        <v/>
      </c>
      <c r="K22" s="33" t="str">
        <f aca="false">IF($E22="","",(1/$F22)/$I22)</f>
        <v/>
      </c>
      <c r="L22" s="33" t="str">
        <f aca="false">IF($E22="","",(1/$G22)/$I22)</f>
        <v/>
      </c>
      <c r="M22" s="34" t="str">
        <f aca="false">IF($E22="","",0.5*(($J22-($D22="H")*1)^2+(($J22+$K22)-(($D22="H")*1+($D22="D")*1))^2))</f>
        <v/>
      </c>
      <c r="N22" s="34" t="str">
        <f aca="false">IF($E22="","",($J22-($D22="H")*1)^2+($K22-($D22="D")*1)^2+($L22-($D22="A")*1)^2)</f>
        <v/>
      </c>
      <c r="O22" s="34" t="str">
        <f aca="false">IF($E22="","",-LN(IF($D22="H",$J22,IF($D22="D",$K22,$L22))))</f>
        <v/>
      </c>
      <c r="P22" s="31" t="str">
        <f aca="false">IF($E22="","",IF(AND($E22&lt;=$F22,$E22&lt;=$G22),"H",IF(AND($F22&lt;=$E22,$F22&lt;=$G22),"D","A")))</f>
        <v/>
      </c>
      <c r="Q22" s="34" t="str">
        <f aca="false">IF($E22="","",0.5*((($P22="H")*1-($D22="H")*1)^2+((($P22="H")*1+($P22="D")*1)-(($D22="H")*1+($D22="D")*1))^2))</f>
        <v/>
      </c>
      <c r="R22" s="35" t="str">
        <f aca="false">IF($E22="","",IF($P22=$D22,IF($P22="H",$E22,IF($P22="D",$F22,$G22))-1,-1))</f>
        <v/>
      </c>
      <c r="S22" s="34" t="str">
        <f aca="false">IF($E22="","",0.5*((1/3-($D22="H")*1)^2+((2/3)-(($D22="H")*1+($D22="D")*1))^2))</f>
        <v/>
      </c>
      <c r="T22" s="31"/>
      <c r="U22" s="33" t="str">
        <f aca="false">IF(OR($T22="",$E22=""),"",$T22/IF($P22="H",$E22,IF($P22="D",$F22,$G22))-1)</f>
        <v/>
      </c>
    </row>
    <row r="23" customFormat="false" ht="15" hidden="false" customHeight="false" outlineLevel="0" collapsed="false">
      <c r="A23" s="29" t="n">
        <v>46184</v>
      </c>
      <c r="B23" s="24" t="s">
        <v>28</v>
      </c>
      <c r="C23" s="30" t="s">
        <v>31</v>
      </c>
      <c r="D23" s="31" t="str">
        <f aca="false">IF($C23="","",IF(VALUE(LEFT($C23,FIND("-",$C23)-1))&gt;VALUE(MID($C23,FIND("-",$C23)+1,5)),"H",IF(VALUE(LEFT($C23,FIND("-",$C23)-1))=VALUE(MID($C23,FIND("-",$C23)+1,5)),"D","A")))</f>
        <v>H</v>
      </c>
      <c r="E23" s="31"/>
      <c r="F23" s="31"/>
      <c r="G23" s="31"/>
      <c r="H23" s="31"/>
      <c r="I23" s="32" t="str">
        <f aca="false">IF($E23="","",1/$E23+1/$F23+1/$G23)</f>
        <v/>
      </c>
      <c r="J23" s="33" t="str">
        <f aca="false">IF($E23="","",(1/$E23)/$I23)</f>
        <v/>
      </c>
      <c r="K23" s="33" t="str">
        <f aca="false">IF($E23="","",(1/$F23)/$I23)</f>
        <v/>
      </c>
      <c r="L23" s="33" t="str">
        <f aca="false">IF($E23="","",(1/$G23)/$I23)</f>
        <v/>
      </c>
      <c r="M23" s="34" t="str">
        <f aca="false">IF($E23="","",0.5*(($J23-($D23="H")*1)^2+(($J23+$K23)-(($D23="H")*1+($D23="D")*1))^2))</f>
        <v/>
      </c>
      <c r="N23" s="34" t="str">
        <f aca="false">IF($E23="","",($J23-($D23="H")*1)^2+($K23-($D23="D")*1)^2+($L23-($D23="A")*1)^2)</f>
        <v/>
      </c>
      <c r="O23" s="34" t="str">
        <f aca="false">IF($E23="","",-LN(IF($D23="H",$J23,IF($D23="D",$K23,$L23))))</f>
        <v/>
      </c>
      <c r="P23" s="31" t="str">
        <f aca="false">IF($E23="","",IF(AND($E23&lt;=$F23,$E23&lt;=$G23),"H",IF(AND($F23&lt;=$E23,$F23&lt;=$G23),"D","A")))</f>
        <v/>
      </c>
      <c r="Q23" s="34" t="str">
        <f aca="false">IF($E23="","",0.5*((($P23="H")*1-($D23="H")*1)^2+((($P23="H")*1+($P23="D")*1)-(($D23="H")*1+($D23="D")*1))^2))</f>
        <v/>
      </c>
      <c r="R23" s="35" t="str">
        <f aca="false">IF($E23="","",IF($P23=$D23,IF($P23="H",$E23,IF($P23="D",$F23,$G23))-1,-1))</f>
        <v/>
      </c>
      <c r="S23" s="34" t="str">
        <f aca="false">IF($E23="","",0.5*((1/3-($D23="H")*1)^2+((2/3)-(($D23="H")*1+($D23="D")*1))^2))</f>
        <v/>
      </c>
      <c r="T23" s="31"/>
      <c r="U23" s="33" t="str">
        <f aca="false">IF(OR($T23="",$E23=""),"",$T23/IF($P23="H",$E23,IF($P23="D",$F23,$G23))-1)</f>
        <v/>
      </c>
    </row>
    <row r="24" customFormat="false" ht="15" hidden="false" customHeight="false" outlineLevel="0" collapsed="false">
      <c r="A24" s="29" t="n">
        <v>46185</v>
      </c>
      <c r="B24" s="24" t="s">
        <v>32</v>
      </c>
      <c r="C24" s="30" t="s">
        <v>35</v>
      </c>
      <c r="D24" s="31" t="str">
        <f aca="false">IF($C24="","",IF(VALUE(LEFT($C24,FIND("-",$C24)-1))&gt;VALUE(MID($C24,FIND("-",$C24)+1,5)),"H",IF(VALUE(LEFT($C24,FIND("-",$C24)-1))=VALUE(MID($C24,FIND("-",$C24)+1,5)),"D","A")))</f>
        <v>D</v>
      </c>
      <c r="E24" s="31"/>
      <c r="F24" s="31"/>
      <c r="G24" s="31"/>
      <c r="H24" s="31"/>
      <c r="I24" s="32" t="str">
        <f aca="false">IF($E24="","",1/$E24+1/$F24+1/$G24)</f>
        <v/>
      </c>
      <c r="J24" s="33" t="str">
        <f aca="false">IF($E24="","",(1/$E24)/$I24)</f>
        <v/>
      </c>
      <c r="K24" s="33" t="str">
        <f aca="false">IF($E24="","",(1/$F24)/$I24)</f>
        <v/>
      </c>
      <c r="L24" s="33" t="str">
        <f aca="false">IF($E24="","",(1/$G24)/$I24)</f>
        <v/>
      </c>
      <c r="M24" s="34" t="str">
        <f aca="false">IF($E24="","",0.5*(($J24-($D24="H")*1)^2+(($J24+$K24)-(($D24="H")*1+($D24="D")*1))^2))</f>
        <v/>
      </c>
      <c r="N24" s="34" t="str">
        <f aca="false">IF($E24="","",($J24-($D24="H")*1)^2+($K24-($D24="D")*1)^2+($L24-($D24="A")*1)^2)</f>
        <v/>
      </c>
      <c r="O24" s="34" t="str">
        <f aca="false">IF($E24="","",-LN(IF($D24="H",$J24,IF($D24="D",$K24,$L24))))</f>
        <v/>
      </c>
      <c r="P24" s="31" t="str">
        <f aca="false">IF($E24="","",IF(AND($E24&lt;=$F24,$E24&lt;=$G24),"H",IF(AND($F24&lt;=$E24,$F24&lt;=$G24),"D","A")))</f>
        <v/>
      </c>
      <c r="Q24" s="34" t="str">
        <f aca="false">IF($E24="","",0.5*((($P24="H")*1-($D24="H")*1)^2+((($P24="H")*1+($P24="D")*1)-(($D24="H")*1+($D24="D")*1))^2))</f>
        <v/>
      </c>
      <c r="R24" s="35" t="str">
        <f aca="false">IF($E24="","",IF($P24=$D24,IF($P24="H",$E24,IF($P24="D",$F24,$G24))-1,-1))</f>
        <v/>
      </c>
      <c r="S24" s="34" t="str">
        <f aca="false">IF($E24="","",0.5*((1/3-($D24="H")*1)^2+((2/3)-(($D24="H")*1+($D24="D")*1))^2))</f>
        <v/>
      </c>
      <c r="T24" s="31"/>
      <c r="U24" s="33" t="str">
        <f aca="false">IF(OR($T24="",$E24=""),"",$T24/IF($P24="H",$E24,IF($P24="D",$F24,$G24))-1)</f>
        <v/>
      </c>
    </row>
    <row r="25" customFormat="false" ht="15" hidden="false" customHeight="false" outlineLevel="0" collapsed="false">
      <c r="A25" s="29" t="n">
        <v>46185</v>
      </c>
      <c r="B25" s="24" t="s">
        <v>37</v>
      </c>
      <c r="C25" s="30" t="s">
        <v>40</v>
      </c>
      <c r="D25" s="31" t="str">
        <f aca="false">IF($C25="","",IF(VALUE(LEFT($C25,FIND("-",$C25)-1))&gt;VALUE(MID($C25,FIND("-",$C25)+1,5)),"H",IF(VALUE(LEFT($C25,FIND("-",$C25)-1))=VALUE(MID($C25,FIND("-",$C25)+1,5)),"D","A")))</f>
        <v>H</v>
      </c>
      <c r="E25" s="31"/>
      <c r="F25" s="31"/>
      <c r="G25" s="31"/>
      <c r="H25" s="31"/>
      <c r="I25" s="32" t="str">
        <f aca="false">IF($E25="","",1/$E25+1/$F25+1/$G25)</f>
        <v/>
      </c>
      <c r="J25" s="33" t="str">
        <f aca="false">IF($E25="","",(1/$E25)/$I25)</f>
        <v/>
      </c>
      <c r="K25" s="33" t="str">
        <f aca="false">IF($E25="","",(1/$F25)/$I25)</f>
        <v/>
      </c>
      <c r="L25" s="33" t="str">
        <f aca="false">IF($E25="","",(1/$G25)/$I25)</f>
        <v/>
      </c>
      <c r="M25" s="34" t="str">
        <f aca="false">IF($E25="","",0.5*(($J25-($D25="H")*1)^2+(($J25+$K25)-(($D25="H")*1+($D25="D")*1))^2))</f>
        <v/>
      </c>
      <c r="N25" s="34" t="str">
        <f aca="false">IF($E25="","",($J25-($D25="H")*1)^2+($K25-($D25="D")*1)^2+($L25-($D25="A")*1)^2)</f>
        <v/>
      </c>
      <c r="O25" s="34" t="str">
        <f aca="false">IF($E25="","",-LN(IF($D25="H",$J25,IF($D25="D",$K25,$L25))))</f>
        <v/>
      </c>
      <c r="P25" s="31" t="str">
        <f aca="false">IF($E25="","",IF(AND($E25&lt;=$F25,$E25&lt;=$G25),"H",IF(AND($F25&lt;=$E25,$F25&lt;=$G25),"D","A")))</f>
        <v/>
      </c>
      <c r="Q25" s="34" t="str">
        <f aca="false">IF($E25="","",0.5*((($P25="H")*1-($D25="H")*1)^2+((($P25="H")*1+($P25="D")*1)-(($D25="H")*1+($D25="D")*1))^2))</f>
        <v/>
      </c>
      <c r="R25" s="35" t="str">
        <f aca="false">IF($E25="","",IF($P25=$D25,IF($P25="H",$E25,IF($P25="D",$F25,$G25))-1,-1))</f>
        <v/>
      </c>
      <c r="S25" s="34" t="str">
        <f aca="false">IF($E25="","",0.5*((1/3-($D25="H")*1)^2+((2/3)-(($D25="H")*1+($D25="D")*1))^2))</f>
        <v/>
      </c>
      <c r="T25" s="31"/>
      <c r="U25" s="33" t="str">
        <f aca="false">IF(OR($T25="",$E25=""),"",$T25/IF($P25="H",$E25,IF($P25="D",$F25,$G25))-1)</f>
        <v/>
      </c>
    </row>
    <row r="26" customFormat="false" ht="15" hidden="false" customHeight="false" outlineLevel="0" collapsed="false">
      <c r="A26" s="29" t="n">
        <v>46186</v>
      </c>
      <c r="B26" s="24" t="s">
        <v>41</v>
      </c>
      <c r="C26" s="30" t="s">
        <v>35</v>
      </c>
      <c r="D26" s="31" t="str">
        <f aca="false">IF($C26="","",IF(VALUE(LEFT($C26,FIND("-",$C26)-1))&gt;VALUE(MID($C26,FIND("-",$C26)+1,5)),"H",IF(VALUE(LEFT($C26,FIND("-",$C26)-1))=VALUE(MID($C26,FIND("-",$C26)+1,5)),"D","A")))</f>
        <v>D</v>
      </c>
      <c r="E26" s="31"/>
      <c r="F26" s="31"/>
      <c r="G26" s="31"/>
      <c r="H26" s="31"/>
      <c r="I26" s="32" t="str">
        <f aca="false">IF($E26="","",1/$E26+1/$F26+1/$G26)</f>
        <v/>
      </c>
      <c r="J26" s="33" t="str">
        <f aca="false">IF($E26="","",(1/$E26)/$I26)</f>
        <v/>
      </c>
      <c r="K26" s="33" t="str">
        <f aca="false">IF($E26="","",(1/$F26)/$I26)</f>
        <v/>
      </c>
      <c r="L26" s="33" t="str">
        <f aca="false">IF($E26="","",(1/$G26)/$I26)</f>
        <v/>
      </c>
      <c r="M26" s="34" t="str">
        <f aca="false">IF($E26="","",0.5*(($J26-($D26="H")*1)^2+(($J26+$K26)-(($D26="H")*1+($D26="D")*1))^2))</f>
        <v/>
      </c>
      <c r="N26" s="34" t="str">
        <f aca="false">IF($E26="","",($J26-($D26="H")*1)^2+($K26-($D26="D")*1)^2+($L26-($D26="A")*1)^2)</f>
        <v/>
      </c>
      <c r="O26" s="34" t="str">
        <f aca="false">IF($E26="","",-LN(IF($D26="H",$J26,IF($D26="D",$K26,$L26))))</f>
        <v/>
      </c>
      <c r="P26" s="31" t="str">
        <f aca="false">IF($E26="","",IF(AND($E26&lt;=$F26,$E26&lt;=$G26),"H",IF(AND($F26&lt;=$E26,$F26&lt;=$G26),"D","A")))</f>
        <v/>
      </c>
      <c r="Q26" s="34" t="str">
        <f aca="false">IF($E26="","",0.5*((($P26="H")*1-($D26="H")*1)^2+((($P26="H")*1+($P26="D")*1)-(($D26="H")*1+($D26="D")*1))^2))</f>
        <v/>
      </c>
      <c r="R26" s="35" t="str">
        <f aca="false">IF($E26="","",IF($P26=$D26,IF($P26="H",$E26,IF($P26="D",$F26,$G26))-1,-1))</f>
        <v/>
      </c>
      <c r="S26" s="34" t="str">
        <f aca="false">IF($E26="","",0.5*((1/3-($D26="H")*1)^2+((2/3)-(($D26="H")*1+($D26="D")*1))^2))</f>
        <v/>
      </c>
      <c r="T26" s="31"/>
      <c r="U26" s="33" t="str">
        <f aca="false">IF(OR($T26="",$E26=""),"",$T26/IF($P26="H",$E26,IF($P26="D",$F26,$G26))-1)</f>
        <v/>
      </c>
    </row>
    <row r="27" customFormat="false" ht="15" hidden="false" customHeight="false" outlineLevel="0" collapsed="false">
      <c r="A27" s="29" t="n">
        <v>46186</v>
      </c>
      <c r="B27" s="24" t="s">
        <v>44</v>
      </c>
      <c r="C27" s="30" t="s">
        <v>35</v>
      </c>
      <c r="D27" s="31" t="str">
        <f aca="false">IF($C27="","",IF(VALUE(LEFT($C27,FIND("-",$C27)-1))&gt;VALUE(MID($C27,FIND("-",$C27)+1,5)),"H",IF(VALUE(LEFT($C27,FIND("-",$C27)-1))=VALUE(MID($C27,FIND("-",$C27)+1,5)),"D","A")))</f>
        <v>D</v>
      </c>
      <c r="E27" s="31"/>
      <c r="F27" s="31"/>
      <c r="G27" s="31"/>
      <c r="H27" s="31"/>
      <c r="I27" s="32" t="str">
        <f aca="false">IF($E27="","",1/$E27+1/$F27+1/$G27)</f>
        <v/>
      </c>
      <c r="J27" s="33" t="str">
        <f aca="false">IF($E27="","",(1/$E27)/$I27)</f>
        <v/>
      </c>
      <c r="K27" s="33" t="str">
        <f aca="false">IF($E27="","",(1/$F27)/$I27)</f>
        <v/>
      </c>
      <c r="L27" s="33" t="str">
        <f aca="false">IF($E27="","",(1/$G27)/$I27)</f>
        <v/>
      </c>
      <c r="M27" s="34" t="str">
        <f aca="false">IF($E27="","",0.5*(($J27-($D27="H")*1)^2+(($J27+$K27)-(($D27="H")*1+($D27="D")*1))^2))</f>
        <v/>
      </c>
      <c r="N27" s="34" t="str">
        <f aca="false">IF($E27="","",($J27-($D27="H")*1)^2+($K27-($D27="D")*1)^2+($L27-($D27="A")*1)^2)</f>
        <v/>
      </c>
      <c r="O27" s="34" t="str">
        <f aca="false">IF($E27="","",-LN(IF($D27="H",$J27,IF($D27="D",$K27,$L27))))</f>
        <v/>
      </c>
      <c r="P27" s="31" t="str">
        <f aca="false">IF($E27="","",IF(AND($E27&lt;=$F27,$E27&lt;=$G27),"H",IF(AND($F27&lt;=$E27,$F27&lt;=$G27),"D","A")))</f>
        <v/>
      </c>
      <c r="Q27" s="34" t="str">
        <f aca="false">IF($E27="","",0.5*((($P27="H")*1-($D27="H")*1)^2+((($P27="H")*1+($P27="D")*1)-(($D27="H")*1+($D27="D")*1))^2))</f>
        <v/>
      </c>
      <c r="R27" s="35" t="str">
        <f aca="false">IF($E27="","",IF($P27=$D27,IF($P27="H",$E27,IF($P27="D",$F27,$G27))-1,-1))</f>
        <v/>
      </c>
      <c r="S27" s="34" t="str">
        <f aca="false">IF($E27="","",0.5*((1/3-($D27="H")*1)^2+((2/3)-(($D27="H")*1+($D27="D")*1))^2))</f>
        <v/>
      </c>
      <c r="T27" s="31"/>
      <c r="U27" s="33" t="str">
        <f aca="false">IF(OR($T27="",$E27=""),"",$T27/IF($P27="H",$E27,IF($P27="D",$F27,$G27))-1)</f>
        <v/>
      </c>
    </row>
    <row r="28" customFormat="false" ht="15" hidden="false" customHeight="false" outlineLevel="0" collapsed="false">
      <c r="A28" s="29" t="n">
        <v>46186</v>
      </c>
      <c r="B28" s="24" t="s">
        <v>47</v>
      </c>
      <c r="C28" s="30" t="s">
        <v>50</v>
      </c>
      <c r="D28" s="31" t="str">
        <f aca="false">IF($C28="","",IF(VALUE(LEFT($C28,FIND("-",$C28)-1))&gt;VALUE(MID($C28,FIND("-",$C28)+1,5)),"H",IF(VALUE(LEFT($C28,FIND("-",$C28)-1))=VALUE(MID($C28,FIND("-",$C28)+1,5)),"D","A")))</f>
        <v>A</v>
      </c>
      <c r="E28" s="31"/>
      <c r="F28" s="31"/>
      <c r="G28" s="31"/>
      <c r="H28" s="31"/>
      <c r="I28" s="32" t="str">
        <f aca="false">IF($E28="","",1/$E28+1/$F28+1/$G28)</f>
        <v/>
      </c>
      <c r="J28" s="33" t="str">
        <f aca="false">IF($E28="","",(1/$E28)/$I28)</f>
        <v/>
      </c>
      <c r="K28" s="33" t="str">
        <f aca="false">IF($E28="","",(1/$F28)/$I28)</f>
        <v/>
      </c>
      <c r="L28" s="33" t="str">
        <f aca="false">IF($E28="","",(1/$G28)/$I28)</f>
        <v/>
      </c>
      <c r="M28" s="34" t="str">
        <f aca="false">IF($E28="","",0.5*(($J28-($D28="H")*1)^2+(($J28+$K28)-(($D28="H")*1+($D28="D")*1))^2))</f>
        <v/>
      </c>
      <c r="N28" s="34" t="str">
        <f aca="false">IF($E28="","",($J28-($D28="H")*1)^2+($K28-($D28="D")*1)^2+($L28-($D28="A")*1)^2)</f>
        <v/>
      </c>
      <c r="O28" s="34" t="str">
        <f aca="false">IF($E28="","",-LN(IF($D28="H",$J28,IF($D28="D",$K28,$L28))))</f>
        <v/>
      </c>
      <c r="P28" s="31" t="str">
        <f aca="false">IF($E28="","",IF(AND($E28&lt;=$F28,$E28&lt;=$G28),"H",IF(AND($F28&lt;=$E28,$F28&lt;=$G28),"D","A")))</f>
        <v/>
      </c>
      <c r="Q28" s="34" t="str">
        <f aca="false">IF($E28="","",0.5*((($P28="H")*1-($D28="H")*1)^2+((($P28="H")*1+($P28="D")*1)-(($D28="H")*1+($D28="D")*1))^2))</f>
        <v/>
      </c>
      <c r="R28" s="35" t="str">
        <f aca="false">IF($E28="","",IF($P28=$D28,IF($P28="H",$E28,IF($P28="D",$F28,$G28))-1,-1))</f>
        <v/>
      </c>
      <c r="S28" s="34" t="str">
        <f aca="false">IF($E28="","",0.5*((1/3-($D28="H")*1)^2+((2/3)-(($D28="H")*1+($D28="D")*1))^2))</f>
        <v/>
      </c>
      <c r="T28" s="31"/>
      <c r="U28" s="33" t="str">
        <f aca="false">IF(OR($T28="",$E28=""),"",$T28/IF($P28="H",$E28,IF($P28="D",$F28,$G28))-1)</f>
        <v/>
      </c>
    </row>
    <row r="29" customFormat="false" ht="15" hidden="false" customHeight="false" outlineLevel="0" collapsed="false">
      <c r="A29" s="29" t="n">
        <v>46186</v>
      </c>
      <c r="B29" s="24" t="s">
        <v>51</v>
      </c>
      <c r="C29" s="30" t="s">
        <v>27</v>
      </c>
      <c r="D29" s="31" t="str">
        <f aca="false">IF($C29="","",IF(VALUE(LEFT($C29,FIND("-",$C29)-1))&gt;VALUE(MID($C29,FIND("-",$C29)+1,5)),"H",IF(VALUE(LEFT($C29,FIND("-",$C29)-1))=VALUE(MID($C29,FIND("-",$C29)+1,5)),"D","A")))</f>
        <v>H</v>
      </c>
      <c r="E29" s="31"/>
      <c r="F29" s="31"/>
      <c r="G29" s="31"/>
      <c r="H29" s="31"/>
      <c r="I29" s="32" t="str">
        <f aca="false">IF($E29="","",1/$E29+1/$F29+1/$G29)</f>
        <v/>
      </c>
      <c r="J29" s="33" t="str">
        <f aca="false">IF($E29="","",(1/$E29)/$I29)</f>
        <v/>
      </c>
      <c r="K29" s="33" t="str">
        <f aca="false">IF($E29="","",(1/$F29)/$I29)</f>
        <v/>
      </c>
      <c r="L29" s="33" t="str">
        <f aca="false">IF($E29="","",(1/$G29)/$I29)</f>
        <v/>
      </c>
      <c r="M29" s="34" t="str">
        <f aca="false">IF($E29="","",0.5*(($J29-($D29="H")*1)^2+(($J29+$K29)-(($D29="H")*1+($D29="D")*1))^2))</f>
        <v/>
      </c>
      <c r="N29" s="34" t="str">
        <f aca="false">IF($E29="","",($J29-($D29="H")*1)^2+($K29-($D29="D")*1)^2+($L29-($D29="A")*1)^2)</f>
        <v/>
      </c>
      <c r="O29" s="34" t="str">
        <f aca="false">IF($E29="","",-LN(IF($D29="H",$J29,IF($D29="D",$K29,$L29))))</f>
        <v/>
      </c>
      <c r="P29" s="31" t="str">
        <f aca="false">IF($E29="","",IF(AND($E29&lt;=$F29,$E29&lt;=$G29),"H",IF(AND($F29&lt;=$E29,$F29&lt;=$G29),"D","A")))</f>
        <v/>
      </c>
      <c r="Q29" s="34" t="str">
        <f aca="false">IF($E29="","",0.5*((($P29="H")*1-($D29="H")*1)^2+((($P29="H")*1+($P29="D")*1)-(($D29="H")*1+($D29="D")*1))^2))</f>
        <v/>
      </c>
      <c r="R29" s="35" t="str">
        <f aca="false">IF($E29="","",IF($P29=$D29,IF($P29="H",$E29,IF($P29="D",$F29,$G29))-1,-1))</f>
        <v/>
      </c>
      <c r="S29" s="34" t="str">
        <f aca="false">IF($E29="","",0.5*((1/3-($D29="H")*1)^2+((2/3)-(($D29="H")*1+($D29="D")*1))^2))</f>
        <v/>
      </c>
      <c r="T29" s="31"/>
      <c r="U29" s="33" t="str">
        <f aca="false">IF(OR($T29="",$E29=""),"",$T29/IF($P29="H",$E29,IF($P29="D",$F29,$G29))-1)</f>
        <v/>
      </c>
    </row>
    <row r="30" customFormat="false" ht="15" hidden="false" customHeight="false" outlineLevel="0" collapsed="false">
      <c r="A30" s="29" t="n">
        <v>46187</v>
      </c>
      <c r="B30" s="24" t="s">
        <v>55</v>
      </c>
      <c r="C30" s="30" t="s">
        <v>58</v>
      </c>
      <c r="D30" s="31" t="str">
        <f aca="false">IF($C30="","",IF(VALUE(LEFT($C30,FIND("-",$C30)-1))&gt;VALUE(MID($C30,FIND("-",$C30)+1,5)),"H",IF(VALUE(LEFT($C30,FIND("-",$C30)-1))=VALUE(MID($C30,FIND("-",$C30)+1,5)),"D","A")))</f>
        <v>H</v>
      </c>
      <c r="E30" s="31"/>
      <c r="F30" s="31"/>
      <c r="G30" s="31"/>
      <c r="H30" s="31"/>
      <c r="I30" s="32" t="str">
        <f aca="false">IF($E30="","",1/$E30+1/$F30+1/$G30)</f>
        <v/>
      </c>
      <c r="J30" s="33" t="str">
        <f aca="false">IF($E30="","",(1/$E30)/$I30)</f>
        <v/>
      </c>
      <c r="K30" s="33" t="str">
        <f aca="false">IF($E30="","",(1/$F30)/$I30)</f>
        <v/>
      </c>
      <c r="L30" s="33" t="str">
        <f aca="false">IF($E30="","",(1/$G30)/$I30)</f>
        <v/>
      </c>
      <c r="M30" s="34" t="str">
        <f aca="false">IF($E30="","",0.5*(($J30-($D30="H")*1)^2+(($J30+$K30)-(($D30="H")*1+($D30="D")*1))^2))</f>
        <v/>
      </c>
      <c r="N30" s="34" t="str">
        <f aca="false">IF($E30="","",($J30-($D30="H")*1)^2+($K30-($D30="D")*1)^2+($L30-($D30="A")*1)^2)</f>
        <v/>
      </c>
      <c r="O30" s="34" t="str">
        <f aca="false">IF($E30="","",-LN(IF($D30="H",$J30,IF($D30="D",$K30,$L30))))</f>
        <v/>
      </c>
      <c r="P30" s="31" t="str">
        <f aca="false">IF($E30="","",IF(AND($E30&lt;=$F30,$E30&lt;=$G30),"H",IF(AND($F30&lt;=$E30,$F30&lt;=$G30),"D","A")))</f>
        <v/>
      </c>
      <c r="Q30" s="34" t="str">
        <f aca="false">IF($E30="","",0.5*((($P30="H")*1-($D30="H")*1)^2+((($P30="H")*1+($P30="D")*1)-(($D30="H")*1+($D30="D")*1))^2))</f>
        <v/>
      </c>
      <c r="R30" s="35" t="str">
        <f aca="false">IF($E30="","",IF($P30=$D30,IF($P30="H",$E30,IF($P30="D",$F30,$G30))-1,-1))</f>
        <v/>
      </c>
      <c r="S30" s="34" t="str">
        <f aca="false">IF($E30="","",0.5*((1/3-($D30="H")*1)^2+((2/3)-(($D30="H")*1+($D30="D")*1))^2))</f>
        <v/>
      </c>
      <c r="T30" s="31"/>
      <c r="U30" s="33" t="str">
        <f aca="false">IF(OR($T30="",$E30=""),"",$T30/IF($P30="H",$E30,IF($P30="D",$F30,$G30))-1)</f>
        <v/>
      </c>
    </row>
    <row r="31" customFormat="false" ht="15" hidden="false" customHeight="false" outlineLevel="0" collapsed="false">
      <c r="A31" s="29" t="n">
        <v>46187</v>
      </c>
      <c r="B31" s="24" t="s">
        <v>59</v>
      </c>
      <c r="C31" s="30" t="s">
        <v>62</v>
      </c>
      <c r="D31" s="31" t="str">
        <f aca="false">IF($C31="","",IF(VALUE(LEFT($C31,FIND("-",$C31)-1))&gt;VALUE(MID($C31,FIND("-",$C31)+1,5)),"H",IF(VALUE(LEFT($C31,FIND("-",$C31)-1))=VALUE(MID($C31,FIND("-",$C31)+1,5)),"D","A")))</f>
        <v>D</v>
      </c>
      <c r="E31" s="31"/>
      <c r="F31" s="31"/>
      <c r="G31" s="31"/>
      <c r="H31" s="31"/>
      <c r="I31" s="32" t="str">
        <f aca="false">IF($E31="","",1/$E31+1/$F31+1/$G31)</f>
        <v/>
      </c>
      <c r="J31" s="33" t="str">
        <f aca="false">IF($E31="","",(1/$E31)/$I31)</f>
        <v/>
      </c>
      <c r="K31" s="33" t="str">
        <f aca="false">IF($E31="","",(1/$F31)/$I31)</f>
        <v/>
      </c>
      <c r="L31" s="33" t="str">
        <f aca="false">IF($E31="","",(1/$G31)/$I31)</f>
        <v/>
      </c>
      <c r="M31" s="34" t="str">
        <f aca="false">IF($E31="","",0.5*(($J31-($D31="H")*1)^2+(($J31+$K31)-(($D31="H")*1+($D31="D")*1))^2))</f>
        <v/>
      </c>
      <c r="N31" s="34" t="str">
        <f aca="false">IF($E31="","",($J31-($D31="H")*1)^2+($K31-($D31="D")*1)^2+($L31-($D31="A")*1)^2)</f>
        <v/>
      </c>
      <c r="O31" s="34" t="str">
        <f aca="false">IF($E31="","",-LN(IF($D31="H",$J31,IF($D31="D",$K31,$L31))))</f>
        <v/>
      </c>
      <c r="P31" s="31" t="str">
        <f aca="false">IF($E31="","",IF(AND($E31&lt;=$F31,$E31&lt;=$G31),"H",IF(AND($F31&lt;=$E31,$F31&lt;=$G31),"D","A")))</f>
        <v/>
      </c>
      <c r="Q31" s="34" t="str">
        <f aca="false">IF($E31="","",0.5*((($P31="H")*1-($D31="H")*1)^2+((($P31="H")*1+($P31="D")*1)-(($D31="H")*1+($D31="D")*1))^2))</f>
        <v/>
      </c>
      <c r="R31" s="35" t="str">
        <f aca="false">IF($E31="","",IF($P31=$D31,IF($P31="H",$E31,IF($P31="D",$F31,$G31))-1,-1))</f>
        <v/>
      </c>
      <c r="S31" s="34" t="str">
        <f aca="false">IF($E31="","",0.5*((1/3-($D31="H")*1)^2+((2/3)-(($D31="H")*1+($D31="D")*1))^2))</f>
        <v/>
      </c>
      <c r="T31" s="31"/>
      <c r="U31" s="33" t="str">
        <f aca="false">IF(OR($T31="",$E31=""),"",$T31/IF($P31="H",$E31,IF($P31="D",$F31,$G31))-1)</f>
        <v/>
      </c>
    </row>
    <row r="32" customFormat="false" ht="15" hidden="false" customHeight="false" outlineLevel="0" collapsed="false">
      <c r="A32" s="29" t="n">
        <v>46187</v>
      </c>
      <c r="B32" s="24" t="s">
        <v>63</v>
      </c>
      <c r="C32" s="30" t="s">
        <v>66</v>
      </c>
      <c r="D32" s="31" t="str">
        <f aca="false">IF($C32="","",IF(VALUE(LEFT($C32,FIND("-",$C32)-1))&gt;VALUE(MID($C32,FIND("-",$C32)+1,5)),"H",IF(VALUE(LEFT($C32,FIND("-",$C32)-1))=VALUE(MID($C32,FIND("-",$C32)+1,5)),"D","A")))</f>
        <v>H</v>
      </c>
      <c r="E32" s="31"/>
      <c r="F32" s="31"/>
      <c r="G32" s="31"/>
      <c r="H32" s="31"/>
      <c r="I32" s="32" t="str">
        <f aca="false">IF($E32="","",1/$E32+1/$F32+1/$G32)</f>
        <v/>
      </c>
      <c r="J32" s="33" t="str">
        <f aca="false">IF($E32="","",(1/$E32)/$I32)</f>
        <v/>
      </c>
      <c r="K32" s="33" t="str">
        <f aca="false">IF($E32="","",(1/$F32)/$I32)</f>
        <v/>
      </c>
      <c r="L32" s="33" t="str">
        <f aca="false">IF($E32="","",(1/$G32)/$I32)</f>
        <v/>
      </c>
      <c r="M32" s="34" t="str">
        <f aca="false">IF($E32="","",0.5*(($J32-($D32="H")*1)^2+(($J32+$K32)-(($D32="H")*1+($D32="D")*1))^2))</f>
        <v/>
      </c>
      <c r="N32" s="34" t="str">
        <f aca="false">IF($E32="","",($J32-($D32="H")*1)^2+($K32-($D32="D")*1)^2+($L32-($D32="A")*1)^2)</f>
        <v/>
      </c>
      <c r="O32" s="34" t="str">
        <f aca="false">IF($E32="","",-LN(IF($D32="H",$J32,IF($D32="D",$K32,$L32))))</f>
        <v/>
      </c>
      <c r="P32" s="31" t="str">
        <f aca="false">IF($E32="","",IF(AND($E32&lt;=$F32,$E32&lt;=$G32),"H",IF(AND($F32&lt;=$E32,$F32&lt;=$G32),"D","A")))</f>
        <v/>
      </c>
      <c r="Q32" s="34" t="str">
        <f aca="false">IF($E32="","",0.5*((($P32="H")*1-($D32="H")*1)^2+((($P32="H")*1+($P32="D")*1)-(($D32="H")*1+($D32="D")*1))^2))</f>
        <v/>
      </c>
      <c r="R32" s="35" t="str">
        <f aca="false">IF($E32="","",IF($P32=$D32,IF($P32="H",$E32,IF($P32="D",$F32,$G32))-1,-1))</f>
        <v/>
      </c>
      <c r="S32" s="34" t="str">
        <f aca="false">IF($E32="","",0.5*((1/3-($D32="H")*1)^2+((2/3)-(($D32="H")*1+($D32="D")*1))^2))</f>
        <v/>
      </c>
      <c r="T32" s="31"/>
      <c r="U32" s="33" t="str">
        <f aca="false">IF(OR($T32="",$E32=""),"",$T32/IF($P32="H",$E32,IF($P32="D",$F32,$G32))-1)</f>
        <v/>
      </c>
    </row>
    <row r="33" customFormat="false" ht="15" hidden="false" customHeight="false" outlineLevel="0" collapsed="false">
      <c r="A33" s="29" t="n">
        <v>46187</v>
      </c>
      <c r="B33" s="24" t="s">
        <v>68</v>
      </c>
      <c r="C33" s="30" t="s">
        <v>71</v>
      </c>
      <c r="D33" s="31" t="str">
        <f aca="false">IF($C33="","",IF(VALUE(LEFT($C33,FIND("-",$C33)-1))&gt;VALUE(MID($C33,FIND("-",$C33)+1,5)),"H",IF(VALUE(LEFT($C33,FIND("-",$C33)-1))=VALUE(MID($C33,FIND("-",$C33)+1,5)),"D","A")))</f>
        <v>H</v>
      </c>
      <c r="E33" s="31"/>
      <c r="F33" s="31"/>
      <c r="G33" s="31"/>
      <c r="H33" s="31"/>
      <c r="I33" s="32" t="str">
        <f aca="false">IF($E33="","",1/$E33+1/$F33+1/$G33)</f>
        <v/>
      </c>
      <c r="J33" s="33" t="str">
        <f aca="false">IF($E33="","",(1/$E33)/$I33)</f>
        <v/>
      </c>
      <c r="K33" s="33" t="str">
        <f aca="false">IF($E33="","",(1/$F33)/$I33)</f>
        <v/>
      </c>
      <c r="L33" s="33" t="str">
        <f aca="false">IF($E33="","",(1/$G33)/$I33)</f>
        <v/>
      </c>
      <c r="M33" s="34" t="str">
        <f aca="false">IF($E33="","",0.5*(($J33-($D33="H")*1)^2+(($J33+$K33)-(($D33="H")*1+($D33="D")*1))^2))</f>
        <v/>
      </c>
      <c r="N33" s="34" t="str">
        <f aca="false">IF($E33="","",($J33-($D33="H")*1)^2+($K33-($D33="D")*1)^2+($L33-($D33="A")*1)^2)</f>
        <v/>
      </c>
      <c r="O33" s="34" t="str">
        <f aca="false">IF($E33="","",-LN(IF($D33="H",$J33,IF($D33="D",$K33,$L33))))</f>
        <v/>
      </c>
      <c r="P33" s="31" t="str">
        <f aca="false">IF($E33="","",IF(AND($E33&lt;=$F33,$E33&lt;=$G33),"H",IF(AND($F33&lt;=$E33,$F33&lt;=$G33),"D","A")))</f>
        <v/>
      </c>
      <c r="Q33" s="34" t="str">
        <f aca="false">IF($E33="","",0.5*((($P33="H")*1-($D33="H")*1)^2+((($P33="H")*1+($P33="D")*1)-(($D33="H")*1+($D33="D")*1))^2))</f>
        <v/>
      </c>
      <c r="R33" s="35" t="str">
        <f aca="false">IF($E33="","",IF($P33=$D33,IF($P33="H",$E33,IF($P33="D",$F33,$G33))-1,-1))</f>
        <v/>
      </c>
      <c r="S33" s="34" t="str">
        <f aca="false">IF($E33="","",0.5*((1/3-($D33="H")*1)^2+((2/3)-(($D33="H")*1+($D33="D")*1))^2))</f>
        <v/>
      </c>
      <c r="T33" s="31"/>
      <c r="U33" s="33" t="str">
        <f aca="false">IF(OR($T33="",$E33=""),"",$T33/IF($P33="H",$E33,IF($P33="D",$F33,$G33))-1)</f>
        <v/>
      </c>
    </row>
    <row r="34" customFormat="false" ht="15" hidden="false" customHeight="false" outlineLevel="0" collapsed="false">
      <c r="A34" s="29" t="n">
        <v>46188</v>
      </c>
      <c r="B34" s="24" t="s">
        <v>72</v>
      </c>
      <c r="C34" s="30" t="s">
        <v>75</v>
      </c>
      <c r="D34" s="31" t="str">
        <f aca="false">IF($C34="","",IF(VALUE(LEFT($C34,FIND("-",$C34)-1))&gt;VALUE(MID($C34,FIND("-",$C34)+1,5)),"H",IF(VALUE(LEFT($C34,FIND("-",$C34)-1))=VALUE(MID($C34,FIND("-",$C34)+1,5)),"D","A")))</f>
        <v>D</v>
      </c>
      <c r="E34" s="31"/>
      <c r="F34" s="31"/>
      <c r="G34" s="31"/>
      <c r="H34" s="31"/>
      <c r="I34" s="32" t="str">
        <f aca="false">IF($E34="","",1/$E34+1/$F34+1/$G34)</f>
        <v/>
      </c>
      <c r="J34" s="33" t="str">
        <f aca="false">IF($E34="","",(1/$E34)/$I34)</f>
        <v/>
      </c>
      <c r="K34" s="33" t="str">
        <f aca="false">IF($E34="","",(1/$F34)/$I34)</f>
        <v/>
      </c>
      <c r="L34" s="33" t="str">
        <f aca="false">IF($E34="","",(1/$G34)/$I34)</f>
        <v/>
      </c>
      <c r="M34" s="34" t="str">
        <f aca="false">IF($E34="","",0.5*(($J34-($D34="H")*1)^2+(($J34+$K34)-(($D34="H")*1+($D34="D")*1))^2))</f>
        <v/>
      </c>
      <c r="N34" s="34" t="str">
        <f aca="false">IF($E34="","",($J34-($D34="H")*1)^2+($K34-($D34="D")*1)^2+($L34-($D34="A")*1)^2)</f>
        <v/>
      </c>
      <c r="O34" s="34" t="str">
        <f aca="false">IF($E34="","",-LN(IF($D34="H",$J34,IF($D34="D",$K34,$L34))))</f>
        <v/>
      </c>
      <c r="P34" s="31" t="str">
        <f aca="false">IF($E34="","",IF(AND($E34&lt;=$F34,$E34&lt;=$G34),"H",IF(AND($F34&lt;=$E34,$F34&lt;=$G34),"D","A")))</f>
        <v/>
      </c>
      <c r="Q34" s="34" t="str">
        <f aca="false">IF($E34="","",0.5*((($P34="H")*1-($D34="H")*1)^2+((($P34="H")*1+($P34="D")*1)-(($D34="H")*1+($D34="D")*1))^2))</f>
        <v/>
      </c>
      <c r="R34" s="35" t="str">
        <f aca="false">IF($E34="","",IF($P34=$D34,IF($P34="H",$E34,IF($P34="D",$F34,$G34))-1,-1))</f>
        <v/>
      </c>
      <c r="S34" s="34" t="str">
        <f aca="false">IF($E34="","",0.5*((1/3-($D34="H")*1)^2+((2/3)-(($D34="H")*1+($D34="D")*1))^2))</f>
        <v/>
      </c>
      <c r="T34" s="31"/>
      <c r="U34" s="33" t="str">
        <f aca="false">IF(OR($T34="",$E34=""),"",$T34/IF($P34="H",$E34,IF($P34="D",$F34,$G34))-1)</f>
        <v/>
      </c>
    </row>
    <row r="35" customFormat="false" ht="15" hidden="false" customHeight="false" outlineLevel="0" collapsed="false">
      <c r="A35" s="29" t="n">
        <v>46188</v>
      </c>
      <c r="B35" s="24" t="s">
        <v>76</v>
      </c>
      <c r="C35" s="30" t="s">
        <v>35</v>
      </c>
      <c r="D35" s="31" t="str">
        <f aca="false">IF($C35="","",IF(VALUE(LEFT($C35,FIND("-",$C35)-1))&gt;VALUE(MID($C35,FIND("-",$C35)+1,5)),"H",IF(VALUE(LEFT($C35,FIND("-",$C35)-1))=VALUE(MID($C35,FIND("-",$C35)+1,5)),"D","A")))</f>
        <v>D</v>
      </c>
      <c r="E35" s="31"/>
      <c r="F35" s="31"/>
      <c r="G35" s="31"/>
      <c r="H35" s="31"/>
      <c r="I35" s="32" t="str">
        <f aca="false">IF($E35="","",1/$E35+1/$F35+1/$G35)</f>
        <v/>
      </c>
      <c r="J35" s="33" t="str">
        <f aca="false">IF($E35="","",(1/$E35)/$I35)</f>
        <v/>
      </c>
      <c r="K35" s="33" t="str">
        <f aca="false">IF($E35="","",(1/$F35)/$I35)</f>
        <v/>
      </c>
      <c r="L35" s="33" t="str">
        <f aca="false">IF($E35="","",(1/$G35)/$I35)</f>
        <v/>
      </c>
      <c r="M35" s="34" t="str">
        <f aca="false">IF($E35="","",0.5*(($J35-($D35="H")*1)^2+(($J35+$K35)-(($D35="H")*1+($D35="D")*1))^2))</f>
        <v/>
      </c>
      <c r="N35" s="34" t="str">
        <f aca="false">IF($E35="","",($J35-($D35="H")*1)^2+($K35-($D35="D")*1)^2+($L35-($D35="A")*1)^2)</f>
        <v/>
      </c>
      <c r="O35" s="34" t="str">
        <f aca="false">IF($E35="","",-LN(IF($D35="H",$J35,IF($D35="D",$K35,$L35))))</f>
        <v/>
      </c>
      <c r="P35" s="31" t="str">
        <f aca="false">IF($E35="","",IF(AND($E35&lt;=$F35,$E35&lt;=$G35),"H",IF(AND($F35&lt;=$E35,$F35&lt;=$G35),"D","A")))</f>
        <v/>
      </c>
      <c r="Q35" s="34" t="str">
        <f aca="false">IF($E35="","",0.5*((($P35="H")*1-($D35="H")*1)^2+((($P35="H")*1+($P35="D")*1)-(($D35="H")*1+($D35="D")*1))^2))</f>
        <v/>
      </c>
      <c r="R35" s="35" t="str">
        <f aca="false">IF($E35="","",IF($P35=$D35,IF($P35="H",$E35,IF($P35="D",$F35,$G35))-1,-1))</f>
        <v/>
      </c>
      <c r="S35" s="34" t="str">
        <f aca="false">IF($E35="","",0.5*((1/3-($D35="H")*1)^2+((2/3)-(($D35="H")*1+($D35="D")*1))^2))</f>
        <v/>
      </c>
      <c r="T35" s="31"/>
      <c r="U35" s="33" t="str">
        <f aca="false">IF(OR($T35="",$E35=""),"",$T35/IF($P35="H",$E35,IF($P35="D",$F35,$G35))-1)</f>
        <v/>
      </c>
    </row>
    <row r="36" customFormat="false" ht="15" hidden="false" customHeight="false" outlineLevel="0" collapsed="false">
      <c r="A36" s="29" t="n">
        <v>46188</v>
      </c>
      <c r="B36" s="24" t="s">
        <v>79</v>
      </c>
      <c r="C36" s="30" t="s">
        <v>35</v>
      </c>
      <c r="D36" s="31" t="str">
        <f aca="false">IF($C36="","",IF(VALUE(LEFT($C36,FIND("-",$C36)-1))&gt;VALUE(MID($C36,FIND("-",$C36)+1,5)),"H",IF(VALUE(LEFT($C36,FIND("-",$C36)-1))=VALUE(MID($C36,FIND("-",$C36)+1,5)),"D","A")))</f>
        <v>D</v>
      </c>
      <c r="E36" s="31"/>
      <c r="F36" s="31"/>
      <c r="G36" s="31"/>
      <c r="H36" s="31"/>
      <c r="I36" s="32" t="str">
        <f aca="false">IF($E36="","",1/$E36+1/$F36+1/$G36)</f>
        <v/>
      </c>
      <c r="J36" s="33" t="str">
        <f aca="false">IF($E36="","",(1/$E36)/$I36)</f>
        <v/>
      </c>
      <c r="K36" s="33" t="str">
        <f aca="false">IF($E36="","",(1/$F36)/$I36)</f>
        <v/>
      </c>
      <c r="L36" s="33" t="str">
        <f aca="false">IF($E36="","",(1/$G36)/$I36)</f>
        <v/>
      </c>
      <c r="M36" s="34" t="str">
        <f aca="false">IF($E36="","",0.5*(($J36-($D36="H")*1)^2+(($J36+$K36)-(($D36="H")*1+($D36="D")*1))^2))</f>
        <v/>
      </c>
      <c r="N36" s="34" t="str">
        <f aca="false">IF($E36="","",($J36-($D36="H")*1)^2+($K36-($D36="D")*1)^2+($L36-($D36="A")*1)^2)</f>
        <v/>
      </c>
      <c r="O36" s="34" t="str">
        <f aca="false">IF($E36="","",-LN(IF($D36="H",$J36,IF($D36="D",$K36,$L36))))</f>
        <v/>
      </c>
      <c r="P36" s="31" t="str">
        <f aca="false">IF($E36="","",IF(AND($E36&lt;=$F36,$E36&lt;=$G36),"H",IF(AND($F36&lt;=$E36,$F36&lt;=$G36),"D","A")))</f>
        <v/>
      </c>
      <c r="Q36" s="34" t="str">
        <f aca="false">IF($E36="","",0.5*((($P36="H")*1-($D36="H")*1)^2+((($P36="H")*1+($P36="D")*1)-(($D36="H")*1+($D36="D")*1))^2))</f>
        <v/>
      </c>
      <c r="R36" s="35" t="str">
        <f aca="false">IF($E36="","",IF($P36=$D36,IF($P36="H",$E36,IF($P36="D",$F36,$G36))-1,-1))</f>
        <v/>
      </c>
      <c r="S36" s="34" t="str">
        <f aca="false">IF($E36="","",0.5*((1/3-($D36="H")*1)^2+((2/3)-(($D36="H")*1+($D36="D")*1))^2))</f>
        <v/>
      </c>
      <c r="T36" s="31"/>
      <c r="U36" s="33" t="str">
        <f aca="false">IF(OR($T36="",$E36=""),"",$T36/IF($P36="H",$E36,IF($P36="D",$F36,$G36))-1)</f>
        <v/>
      </c>
    </row>
    <row r="37" customFormat="false" ht="15" hidden="false" customHeight="false" outlineLevel="0" collapsed="false">
      <c r="A37" s="29" t="n">
        <v>46188</v>
      </c>
      <c r="B37" s="24" t="s">
        <v>82</v>
      </c>
      <c r="C37" s="30" t="s">
        <v>62</v>
      </c>
      <c r="D37" s="31" t="str">
        <f aca="false">IF($C37="","",IF(VALUE(LEFT($C37,FIND("-",$C37)-1))&gt;VALUE(MID($C37,FIND("-",$C37)+1,5)),"H",IF(VALUE(LEFT($C37,FIND("-",$C37)-1))=VALUE(MID($C37,FIND("-",$C37)+1,5)),"D","A")))</f>
        <v>D</v>
      </c>
      <c r="E37" s="31"/>
      <c r="F37" s="31"/>
      <c r="G37" s="31"/>
      <c r="H37" s="31"/>
      <c r="I37" s="32" t="str">
        <f aca="false">IF($E37="","",1/$E37+1/$F37+1/$G37)</f>
        <v/>
      </c>
      <c r="J37" s="33" t="str">
        <f aca="false">IF($E37="","",(1/$E37)/$I37)</f>
        <v/>
      </c>
      <c r="K37" s="33" t="str">
        <f aca="false">IF($E37="","",(1/$F37)/$I37)</f>
        <v/>
      </c>
      <c r="L37" s="33" t="str">
        <f aca="false">IF($E37="","",(1/$G37)/$I37)</f>
        <v/>
      </c>
      <c r="M37" s="34" t="str">
        <f aca="false">IF($E37="","",0.5*(($J37-($D37="H")*1)^2+(($J37+$K37)-(($D37="H")*1+($D37="D")*1))^2))</f>
        <v/>
      </c>
      <c r="N37" s="34" t="str">
        <f aca="false">IF($E37="","",($J37-($D37="H")*1)^2+($K37-($D37="D")*1)^2+($L37-($D37="A")*1)^2)</f>
        <v/>
      </c>
      <c r="O37" s="34" t="str">
        <f aca="false">IF($E37="","",-LN(IF($D37="H",$J37,IF($D37="D",$K37,$L37))))</f>
        <v/>
      </c>
      <c r="P37" s="31" t="str">
        <f aca="false">IF($E37="","",IF(AND($E37&lt;=$F37,$E37&lt;=$G37),"H",IF(AND($F37&lt;=$E37,$F37&lt;=$G37),"D","A")))</f>
        <v/>
      </c>
      <c r="Q37" s="34" t="str">
        <f aca="false">IF($E37="","",0.5*((($P37="H")*1-($D37="H")*1)^2+((($P37="H")*1+($P37="D")*1)-(($D37="H")*1+($D37="D")*1))^2))</f>
        <v/>
      </c>
      <c r="R37" s="35" t="str">
        <f aca="false">IF($E37="","",IF($P37=$D37,IF($P37="H",$E37,IF($P37="D",$F37,$G37))-1,-1))</f>
        <v/>
      </c>
      <c r="S37" s="34" t="str">
        <f aca="false">IF($E37="","",0.5*((1/3-($D37="H")*1)^2+((2/3)-(($D37="H")*1+($D37="D")*1))^2))</f>
        <v/>
      </c>
      <c r="T37" s="31"/>
      <c r="U37" s="33" t="str">
        <f aca="false">IF(OR($T37="",$E37=""),"",$T37/IF($P37="H",$E37,IF($P37="D",$F37,$G37))-1)</f>
        <v/>
      </c>
    </row>
    <row r="38" customFormat="false" ht="15" hidden="false" customHeight="false" outlineLevel="0" collapsed="false">
      <c r="A38" s="29" t="n">
        <v>46189</v>
      </c>
      <c r="B38" s="24" t="s">
        <v>85</v>
      </c>
      <c r="C38" s="30" t="s">
        <v>88</v>
      </c>
      <c r="D38" s="31" t="str">
        <f aca="false">IF($C38="","",IF(VALUE(LEFT($C38,FIND("-",$C38)-1))&gt;VALUE(MID($C38,FIND("-",$C38)+1,5)),"H",IF(VALUE(LEFT($C38,FIND("-",$C38)-1))=VALUE(MID($C38,FIND("-",$C38)+1,5)),"D","A")))</f>
        <v>H</v>
      </c>
      <c r="E38" s="31"/>
      <c r="F38" s="31"/>
      <c r="G38" s="31"/>
      <c r="H38" s="31"/>
      <c r="I38" s="32" t="str">
        <f aca="false">IF($E38="","",1/$E38+1/$F38+1/$G38)</f>
        <v/>
      </c>
      <c r="J38" s="33" t="str">
        <f aca="false">IF($E38="","",(1/$E38)/$I38)</f>
        <v/>
      </c>
      <c r="K38" s="33" t="str">
        <f aca="false">IF($E38="","",(1/$F38)/$I38)</f>
        <v/>
      </c>
      <c r="L38" s="33" t="str">
        <f aca="false">IF($E38="","",(1/$G38)/$I38)</f>
        <v/>
      </c>
      <c r="M38" s="34" t="str">
        <f aca="false">IF($E38="","",0.5*(($J38-($D38="H")*1)^2+(($J38+$K38)-(($D38="H")*1+($D38="D")*1))^2))</f>
        <v/>
      </c>
      <c r="N38" s="34" t="str">
        <f aca="false">IF($E38="","",($J38-($D38="H")*1)^2+($K38-($D38="D")*1)^2+($L38-($D38="A")*1)^2)</f>
        <v/>
      </c>
      <c r="O38" s="34" t="str">
        <f aca="false">IF($E38="","",-LN(IF($D38="H",$J38,IF($D38="D",$K38,$L38))))</f>
        <v/>
      </c>
      <c r="P38" s="31" t="str">
        <f aca="false">IF($E38="","",IF(AND($E38&lt;=$F38,$E38&lt;=$G38),"H",IF(AND($F38&lt;=$E38,$F38&lt;=$G38),"D","A")))</f>
        <v/>
      </c>
      <c r="Q38" s="34" t="str">
        <f aca="false">IF($E38="","",0.5*((($P38="H")*1-($D38="H")*1)^2+((($P38="H")*1+($P38="D")*1)-(($D38="H")*1+($D38="D")*1))^2))</f>
        <v/>
      </c>
      <c r="R38" s="35" t="str">
        <f aca="false">IF($E38="","",IF($P38=$D38,IF($P38="H",$E38,IF($P38="D",$F38,$G38))-1,-1))</f>
        <v/>
      </c>
      <c r="S38" s="34" t="str">
        <f aca="false">IF($E38="","",0.5*((1/3-($D38="H")*1)^2+((2/3)-(($D38="H")*1+($D38="D")*1))^2))</f>
        <v/>
      </c>
      <c r="T38" s="31"/>
      <c r="U38" s="33" t="str">
        <f aca="false">IF(OR($T38="",$E38=""),"",$T38/IF($P38="H",$E38,IF($P38="D",$F38,$G38))-1)</f>
        <v/>
      </c>
    </row>
    <row r="39" customFormat="false" ht="15" hidden="false" customHeight="false" outlineLevel="0" collapsed="false">
      <c r="A39" s="29" t="n">
        <v>46189</v>
      </c>
      <c r="B39" s="24" t="s">
        <v>89</v>
      </c>
      <c r="C39" s="30" t="s">
        <v>92</v>
      </c>
      <c r="D39" s="31" t="str">
        <f aca="false">IF($C39="","",IF(VALUE(LEFT($C39,FIND("-",$C39)-1))&gt;VALUE(MID($C39,FIND("-",$C39)+1,5)),"H",IF(VALUE(LEFT($C39,FIND("-",$C39)-1))=VALUE(MID($C39,FIND("-",$C39)+1,5)),"D","A")))</f>
        <v>A</v>
      </c>
      <c r="E39" s="31"/>
      <c r="F39" s="31"/>
      <c r="G39" s="31"/>
      <c r="H39" s="31"/>
      <c r="I39" s="32" t="str">
        <f aca="false">IF($E39="","",1/$E39+1/$F39+1/$G39)</f>
        <v/>
      </c>
      <c r="J39" s="33" t="str">
        <f aca="false">IF($E39="","",(1/$E39)/$I39)</f>
        <v/>
      </c>
      <c r="K39" s="33" t="str">
        <f aca="false">IF($E39="","",(1/$F39)/$I39)</f>
        <v/>
      </c>
      <c r="L39" s="33" t="str">
        <f aca="false">IF($E39="","",(1/$G39)/$I39)</f>
        <v/>
      </c>
      <c r="M39" s="34" t="str">
        <f aca="false">IF($E39="","",0.5*(($J39-($D39="H")*1)^2+(($J39+$K39)-(($D39="H")*1+($D39="D")*1))^2))</f>
        <v/>
      </c>
      <c r="N39" s="34" t="str">
        <f aca="false">IF($E39="","",($J39-($D39="H")*1)^2+($K39-($D39="D")*1)^2+($L39-($D39="A")*1)^2)</f>
        <v/>
      </c>
      <c r="O39" s="34" t="str">
        <f aca="false">IF($E39="","",-LN(IF($D39="H",$J39,IF($D39="D",$K39,$L39))))</f>
        <v/>
      </c>
      <c r="P39" s="31" t="str">
        <f aca="false">IF($E39="","",IF(AND($E39&lt;=$F39,$E39&lt;=$G39),"H",IF(AND($F39&lt;=$E39,$F39&lt;=$G39),"D","A")))</f>
        <v/>
      </c>
      <c r="Q39" s="34" t="str">
        <f aca="false">IF($E39="","",0.5*((($P39="H")*1-($D39="H")*1)^2+((($P39="H")*1+($P39="D")*1)-(($D39="H")*1+($D39="D")*1))^2))</f>
        <v/>
      </c>
      <c r="R39" s="35" t="str">
        <f aca="false">IF($E39="","",IF($P39=$D39,IF($P39="H",$E39,IF($P39="D",$F39,$G39))-1,-1))</f>
        <v/>
      </c>
      <c r="S39" s="34" t="str">
        <f aca="false">IF($E39="","",0.5*((1/3-($D39="H")*1)^2+((2/3)-(($D39="H")*1+($D39="D")*1))^2))</f>
        <v/>
      </c>
      <c r="T39" s="31"/>
      <c r="U39" s="33" t="str">
        <f aca="false">IF(OR($T39="",$E39=""),"",$T39/IF($P39="H",$E39,IF($P39="D",$F39,$G39))-1)</f>
        <v/>
      </c>
    </row>
    <row r="40" customFormat="false" ht="15" hidden="false" customHeight="false" outlineLevel="0" collapsed="false">
      <c r="A40" s="29" t="n">
        <v>46189</v>
      </c>
      <c r="B40" s="24" t="s">
        <v>93</v>
      </c>
      <c r="C40" s="30" t="s">
        <v>96</v>
      </c>
      <c r="D40" s="31" t="str">
        <f aca="false">IF($C40="","",IF(VALUE(LEFT($C40,FIND("-",$C40)-1))&gt;VALUE(MID($C40,FIND("-",$C40)+1,5)),"H",IF(VALUE(LEFT($C40,FIND("-",$C40)-1))=VALUE(MID($C40,FIND("-",$C40)+1,5)),"D","A")))</f>
        <v>H</v>
      </c>
      <c r="E40" s="31"/>
      <c r="F40" s="31"/>
      <c r="G40" s="31"/>
      <c r="H40" s="31"/>
      <c r="I40" s="32" t="str">
        <f aca="false">IF($E40="","",1/$E40+1/$F40+1/$G40)</f>
        <v/>
      </c>
      <c r="J40" s="33" t="str">
        <f aca="false">IF($E40="","",(1/$E40)/$I40)</f>
        <v/>
      </c>
      <c r="K40" s="33" t="str">
        <f aca="false">IF($E40="","",(1/$F40)/$I40)</f>
        <v/>
      </c>
      <c r="L40" s="33" t="str">
        <f aca="false">IF($E40="","",(1/$G40)/$I40)</f>
        <v/>
      </c>
      <c r="M40" s="34" t="str">
        <f aca="false">IF($E40="","",0.5*(($J40-($D40="H")*1)^2+(($J40+$K40)-(($D40="H")*1+($D40="D")*1))^2))</f>
        <v/>
      </c>
      <c r="N40" s="34" t="str">
        <f aca="false">IF($E40="","",($J40-($D40="H")*1)^2+($K40-($D40="D")*1)^2+($L40-($D40="A")*1)^2)</f>
        <v/>
      </c>
      <c r="O40" s="34" t="str">
        <f aca="false">IF($E40="","",-LN(IF($D40="H",$J40,IF($D40="D",$K40,$L40))))</f>
        <v/>
      </c>
      <c r="P40" s="31" t="str">
        <f aca="false">IF($E40="","",IF(AND($E40&lt;=$F40,$E40&lt;=$G40),"H",IF(AND($F40&lt;=$E40,$F40&lt;=$G40),"D","A")))</f>
        <v/>
      </c>
      <c r="Q40" s="34" t="str">
        <f aca="false">IF($E40="","",0.5*((($P40="H")*1-($D40="H")*1)^2+((($P40="H")*1+($P40="D")*1)-(($D40="H")*1+($D40="D")*1))^2))</f>
        <v/>
      </c>
      <c r="R40" s="35" t="str">
        <f aca="false">IF($E40="","",IF($P40=$D40,IF($P40="H",$E40,IF($P40="D",$F40,$G40))-1,-1))</f>
        <v/>
      </c>
      <c r="S40" s="34" t="str">
        <f aca="false">IF($E40="","",0.5*((1/3-($D40="H")*1)^2+((2/3)-(($D40="H")*1+($D40="D")*1))^2))</f>
        <v/>
      </c>
      <c r="T40" s="31"/>
      <c r="U40" s="33" t="str">
        <f aca="false">IF(OR($T40="",$E40=""),"",$T40/IF($P40="H",$E40,IF($P40="D",$F40,$G40))-1)</f>
        <v/>
      </c>
    </row>
    <row r="41" customFormat="false" ht="15" hidden="false" customHeight="false" outlineLevel="0" collapsed="false">
      <c r="A41" s="29" t="n">
        <v>46189</v>
      </c>
      <c r="B41" s="24" t="s">
        <v>97</v>
      </c>
      <c r="C41" s="30" t="s">
        <v>88</v>
      </c>
      <c r="D41" s="31" t="str">
        <f aca="false">IF($C41="","",IF(VALUE(LEFT($C41,FIND("-",$C41)-1))&gt;VALUE(MID($C41,FIND("-",$C41)+1,5)),"H",IF(VALUE(LEFT($C41,FIND("-",$C41)-1))=VALUE(MID($C41,FIND("-",$C41)+1,5)),"D","A")))</f>
        <v>H</v>
      </c>
      <c r="E41" s="31"/>
      <c r="F41" s="31"/>
      <c r="G41" s="31"/>
      <c r="H41" s="31"/>
      <c r="I41" s="32" t="str">
        <f aca="false">IF($E41="","",1/$E41+1/$F41+1/$G41)</f>
        <v/>
      </c>
      <c r="J41" s="33" t="str">
        <f aca="false">IF($E41="","",(1/$E41)/$I41)</f>
        <v/>
      </c>
      <c r="K41" s="33" t="str">
        <f aca="false">IF($E41="","",(1/$F41)/$I41)</f>
        <v/>
      </c>
      <c r="L41" s="33" t="str">
        <f aca="false">IF($E41="","",(1/$G41)/$I41)</f>
        <v/>
      </c>
      <c r="M41" s="34" t="str">
        <f aca="false">IF($E41="","",0.5*(($J41-($D41="H")*1)^2+(($J41+$K41)-(($D41="H")*1+($D41="D")*1))^2))</f>
        <v/>
      </c>
      <c r="N41" s="34" t="str">
        <f aca="false">IF($E41="","",($J41-($D41="H")*1)^2+($K41-($D41="D")*1)^2+($L41-($D41="A")*1)^2)</f>
        <v/>
      </c>
      <c r="O41" s="34" t="str">
        <f aca="false">IF($E41="","",-LN(IF($D41="H",$J41,IF($D41="D",$K41,$L41))))</f>
        <v/>
      </c>
      <c r="P41" s="31" t="str">
        <f aca="false">IF($E41="","",IF(AND($E41&lt;=$F41,$E41&lt;=$G41),"H",IF(AND($F41&lt;=$E41,$F41&lt;=$G41),"D","A")))</f>
        <v/>
      </c>
      <c r="Q41" s="34" t="str">
        <f aca="false">IF($E41="","",0.5*((($P41="H")*1-($D41="H")*1)^2+((($P41="H")*1+($P41="D")*1)-(($D41="H")*1+($D41="D")*1))^2))</f>
        <v/>
      </c>
      <c r="R41" s="35" t="str">
        <f aca="false">IF($E41="","",IF($P41=$D41,IF($P41="H",$E41,IF($P41="D",$F41,$G41))-1,-1))</f>
        <v/>
      </c>
      <c r="S41" s="34" t="str">
        <f aca="false">IF($E41="","",0.5*((1/3-($D41="H")*1)^2+((2/3)-(($D41="H")*1+($D41="D")*1))^2))</f>
        <v/>
      </c>
      <c r="T41" s="31"/>
      <c r="U41" s="33" t="str">
        <f aca="false">IF(OR($T41="",$E41=""),"",$T41/IF($P41="H",$E41,IF($P41="D",$F41,$G41))-1)</f>
        <v/>
      </c>
    </row>
    <row r="42" customFormat="false" ht="15" hidden="false" customHeight="false" outlineLevel="0" collapsed="false">
      <c r="A42" s="29" t="n">
        <v>46190</v>
      </c>
      <c r="B42" s="24" t="s">
        <v>100</v>
      </c>
      <c r="C42" s="30" t="s">
        <v>35</v>
      </c>
      <c r="D42" s="31" t="str">
        <f aca="false">IF($C42="","",IF(VALUE(LEFT($C42,FIND("-",$C42)-1))&gt;VALUE(MID($C42,FIND("-",$C42)+1,5)),"H",IF(VALUE(LEFT($C42,FIND("-",$C42)-1))=VALUE(MID($C42,FIND("-",$C42)+1,5)),"D","A")))</f>
        <v>D</v>
      </c>
      <c r="E42" s="31"/>
      <c r="F42" s="31"/>
      <c r="G42" s="31"/>
      <c r="H42" s="31"/>
      <c r="I42" s="32" t="str">
        <f aca="false">IF($E42="","",1/$E42+1/$F42+1/$G42)</f>
        <v/>
      </c>
      <c r="J42" s="33" t="str">
        <f aca="false">IF($E42="","",(1/$E42)/$I42)</f>
        <v/>
      </c>
      <c r="K42" s="33" t="str">
        <f aca="false">IF($E42="","",(1/$F42)/$I42)</f>
        <v/>
      </c>
      <c r="L42" s="33" t="str">
        <f aca="false">IF($E42="","",(1/$G42)/$I42)</f>
        <v/>
      </c>
      <c r="M42" s="34" t="str">
        <f aca="false">IF($E42="","",0.5*(($J42-($D42="H")*1)^2+(($J42+$K42)-(($D42="H")*1+($D42="D")*1))^2))</f>
        <v/>
      </c>
      <c r="N42" s="34" t="str">
        <f aca="false">IF($E42="","",($J42-($D42="H")*1)^2+($K42-($D42="D")*1)^2+($L42-($D42="A")*1)^2)</f>
        <v/>
      </c>
      <c r="O42" s="34" t="str">
        <f aca="false">IF($E42="","",-LN(IF($D42="H",$J42,IF($D42="D",$K42,$L42))))</f>
        <v/>
      </c>
      <c r="P42" s="31" t="str">
        <f aca="false">IF($E42="","",IF(AND($E42&lt;=$F42,$E42&lt;=$G42),"H",IF(AND($F42&lt;=$E42,$F42&lt;=$G42),"D","A")))</f>
        <v/>
      </c>
      <c r="Q42" s="34" t="str">
        <f aca="false">IF($E42="","",0.5*((($P42="H")*1-($D42="H")*1)^2+((($P42="H")*1+($P42="D")*1)-(($D42="H")*1+($D42="D")*1))^2))</f>
        <v/>
      </c>
      <c r="R42" s="35" t="str">
        <f aca="false">IF($E42="","",IF($P42=$D42,IF($P42="H",$E42,IF($P42="D",$F42,$G42))-1,-1))</f>
        <v/>
      </c>
      <c r="S42" s="34" t="str">
        <f aca="false">IF($E42="","",0.5*((1/3-($D42="H")*1)^2+((2/3)-(($D42="H")*1+($D42="D")*1))^2))</f>
        <v/>
      </c>
      <c r="T42" s="31"/>
      <c r="U42" s="33" t="str">
        <f aca="false">IF(OR($T42="",$E42=""),"",$T42/IF($P42="H",$E42,IF($P42="D",$F42,$G42))-1)</f>
        <v/>
      </c>
    </row>
    <row r="43" customFormat="false" ht="15" hidden="false" customHeight="false" outlineLevel="0" collapsed="false">
      <c r="A43" s="29" t="n">
        <v>46190</v>
      </c>
      <c r="B43" s="24" t="s">
        <v>103</v>
      </c>
      <c r="C43" s="30" t="s">
        <v>106</v>
      </c>
      <c r="D43" s="31" t="str">
        <f aca="false">IF($C43="","",IF(VALUE(LEFT($C43,FIND("-",$C43)-1))&gt;VALUE(MID($C43,FIND("-",$C43)+1,5)),"H",IF(VALUE(LEFT($C43,FIND("-",$C43)-1))=VALUE(MID($C43,FIND("-",$C43)+1,5)),"D","A")))</f>
        <v>H</v>
      </c>
      <c r="E43" s="31"/>
      <c r="F43" s="31"/>
      <c r="G43" s="31"/>
      <c r="H43" s="31"/>
      <c r="I43" s="32" t="str">
        <f aca="false">IF($E43="","",1/$E43+1/$F43+1/$G43)</f>
        <v/>
      </c>
      <c r="J43" s="33" t="str">
        <f aca="false">IF($E43="","",(1/$E43)/$I43)</f>
        <v/>
      </c>
      <c r="K43" s="33" t="str">
        <f aca="false">IF($E43="","",(1/$F43)/$I43)</f>
        <v/>
      </c>
      <c r="L43" s="33" t="str">
        <f aca="false">IF($E43="","",(1/$G43)/$I43)</f>
        <v/>
      </c>
      <c r="M43" s="34" t="str">
        <f aca="false">IF($E43="","",0.5*(($J43-($D43="H")*1)^2+(($J43+$K43)-(($D43="H")*1+($D43="D")*1))^2))</f>
        <v/>
      </c>
      <c r="N43" s="34" t="str">
        <f aca="false">IF($E43="","",($J43-($D43="H")*1)^2+($K43-($D43="D")*1)^2+($L43-($D43="A")*1)^2)</f>
        <v/>
      </c>
      <c r="O43" s="34" t="str">
        <f aca="false">IF($E43="","",-LN(IF($D43="H",$J43,IF($D43="D",$K43,$L43))))</f>
        <v/>
      </c>
      <c r="P43" s="31" t="str">
        <f aca="false">IF($E43="","",IF(AND($E43&lt;=$F43,$E43&lt;=$G43),"H",IF(AND($F43&lt;=$E43,$F43&lt;=$G43),"D","A")))</f>
        <v/>
      </c>
      <c r="Q43" s="34" t="str">
        <f aca="false">IF($E43="","",0.5*((($P43="H")*1-($D43="H")*1)^2+((($P43="H")*1+($P43="D")*1)-(($D43="H")*1+($D43="D")*1))^2))</f>
        <v/>
      </c>
      <c r="R43" s="35" t="str">
        <f aca="false">IF($E43="","",IF($P43=$D43,IF($P43="H",$E43,IF($P43="D",$F43,$G43))-1,-1))</f>
        <v/>
      </c>
      <c r="S43" s="34" t="str">
        <f aca="false">IF($E43="","",0.5*((1/3-($D43="H")*1)^2+((2/3)-(($D43="H")*1+($D43="D")*1))^2))</f>
        <v/>
      </c>
      <c r="T43" s="31"/>
      <c r="U43" s="33" t="str">
        <f aca="false">IF(OR($T43="",$E43=""),"",$T43/IF($P43="H",$E43,IF($P43="D",$F43,$G43))-1)</f>
        <v/>
      </c>
    </row>
    <row r="44" customFormat="false" ht="15" hidden="false" customHeight="false" outlineLevel="0" collapsed="false">
      <c r="A44" s="29" t="n">
        <v>46190</v>
      </c>
      <c r="B44" s="24" t="s">
        <v>107</v>
      </c>
      <c r="C44" s="30" t="s">
        <v>66</v>
      </c>
      <c r="D44" s="31" t="str">
        <f aca="false">IF($C44="","",IF(VALUE(LEFT($C44,FIND("-",$C44)-1))&gt;VALUE(MID($C44,FIND("-",$C44)+1,5)),"H",IF(VALUE(LEFT($C44,FIND("-",$C44)-1))=VALUE(MID($C44,FIND("-",$C44)+1,5)),"D","A")))</f>
        <v>H</v>
      </c>
      <c r="E44" s="31"/>
      <c r="F44" s="31"/>
      <c r="G44" s="31"/>
      <c r="H44" s="31"/>
      <c r="I44" s="32" t="str">
        <f aca="false">IF($E44="","",1/$E44+1/$F44+1/$G44)</f>
        <v/>
      </c>
      <c r="J44" s="33" t="str">
        <f aca="false">IF($E44="","",(1/$E44)/$I44)</f>
        <v/>
      </c>
      <c r="K44" s="33" t="str">
        <f aca="false">IF($E44="","",(1/$F44)/$I44)</f>
        <v/>
      </c>
      <c r="L44" s="33" t="str">
        <f aca="false">IF($E44="","",(1/$G44)/$I44)</f>
        <v/>
      </c>
      <c r="M44" s="34" t="str">
        <f aca="false">IF($E44="","",0.5*(($J44-($D44="H")*1)^2+(($J44+$K44)-(($D44="H")*1+($D44="D")*1))^2))</f>
        <v/>
      </c>
      <c r="N44" s="34" t="str">
        <f aca="false">IF($E44="","",($J44-($D44="H")*1)^2+($K44-($D44="D")*1)^2+($L44-($D44="A")*1)^2)</f>
        <v/>
      </c>
      <c r="O44" s="34" t="str">
        <f aca="false">IF($E44="","",-LN(IF($D44="H",$J44,IF($D44="D",$K44,$L44))))</f>
        <v/>
      </c>
      <c r="P44" s="31" t="str">
        <f aca="false">IF($E44="","",IF(AND($E44&lt;=$F44,$E44&lt;=$G44),"H",IF(AND($F44&lt;=$E44,$F44&lt;=$G44),"D","A")))</f>
        <v/>
      </c>
      <c r="Q44" s="34" t="str">
        <f aca="false">IF($E44="","",0.5*((($P44="H")*1-($D44="H")*1)^2+((($P44="H")*1+($P44="D")*1)-(($D44="H")*1+($D44="D")*1))^2))</f>
        <v/>
      </c>
      <c r="R44" s="35" t="str">
        <f aca="false">IF($E44="","",IF($P44=$D44,IF($P44="H",$E44,IF($P44="D",$F44,$G44))-1,-1))</f>
        <v/>
      </c>
      <c r="S44" s="34" t="str">
        <f aca="false">IF($E44="","",0.5*((1/3-($D44="H")*1)^2+((2/3)-(($D44="H")*1+($D44="D")*1))^2))</f>
        <v/>
      </c>
      <c r="T44" s="31"/>
      <c r="U44" s="33" t="str">
        <f aca="false">IF(OR($T44="",$E44=""),"",$T44/IF($P44="H",$E44,IF($P44="D",$F44,$G44))-1)</f>
        <v/>
      </c>
    </row>
    <row r="45" customFormat="false" ht="15" hidden="false" customHeight="false" outlineLevel="0" collapsed="false">
      <c r="A45" s="29" t="n">
        <v>46190</v>
      </c>
      <c r="B45" s="24" t="s">
        <v>110</v>
      </c>
      <c r="C45" s="30" t="s">
        <v>113</v>
      </c>
      <c r="D45" s="31" t="str">
        <f aca="false">IF($C45="","",IF(VALUE(LEFT($C45,FIND("-",$C45)-1))&gt;VALUE(MID($C45,FIND("-",$C45)+1,5)),"H",IF(VALUE(LEFT($C45,FIND("-",$C45)-1))=VALUE(MID($C45,FIND("-",$C45)+1,5)),"D","A")))</f>
        <v>A</v>
      </c>
      <c r="E45" s="31"/>
      <c r="F45" s="31"/>
      <c r="G45" s="31"/>
      <c r="H45" s="31"/>
      <c r="I45" s="32" t="str">
        <f aca="false">IF($E45="","",1/$E45+1/$F45+1/$G45)</f>
        <v/>
      </c>
      <c r="J45" s="33" t="str">
        <f aca="false">IF($E45="","",(1/$E45)/$I45)</f>
        <v/>
      </c>
      <c r="K45" s="33" t="str">
        <f aca="false">IF($E45="","",(1/$F45)/$I45)</f>
        <v/>
      </c>
      <c r="L45" s="33" t="str">
        <f aca="false">IF($E45="","",(1/$G45)/$I45)</f>
        <v/>
      </c>
      <c r="M45" s="34" t="str">
        <f aca="false">IF($E45="","",0.5*(($J45-($D45="H")*1)^2+(($J45+$K45)-(($D45="H")*1+($D45="D")*1))^2))</f>
        <v/>
      </c>
      <c r="N45" s="34" t="str">
        <f aca="false">IF($E45="","",($J45-($D45="H")*1)^2+($K45-($D45="D")*1)^2+($L45-($D45="A")*1)^2)</f>
        <v/>
      </c>
      <c r="O45" s="34" t="str">
        <f aca="false">IF($E45="","",-LN(IF($D45="H",$J45,IF($D45="D",$K45,$L45))))</f>
        <v/>
      </c>
      <c r="P45" s="31" t="str">
        <f aca="false">IF($E45="","",IF(AND($E45&lt;=$F45,$E45&lt;=$G45),"H",IF(AND($F45&lt;=$E45,$F45&lt;=$G45),"D","A")))</f>
        <v/>
      </c>
      <c r="Q45" s="34" t="str">
        <f aca="false">IF($E45="","",0.5*((($P45="H")*1-($D45="H")*1)^2+((($P45="H")*1+($P45="D")*1)-(($D45="H")*1+($D45="D")*1))^2))</f>
        <v/>
      </c>
      <c r="R45" s="35" t="str">
        <f aca="false">IF($E45="","",IF($P45=$D45,IF($P45="H",$E45,IF($P45="D",$F45,$G45))-1,-1))</f>
        <v/>
      </c>
      <c r="S45" s="34" t="str">
        <f aca="false">IF($E45="","",0.5*((1/3-($D45="H")*1)^2+((2/3)-(($D45="H")*1+($D45="D")*1))^2))</f>
        <v/>
      </c>
      <c r="T45" s="31"/>
      <c r="U45" s="33" t="str">
        <f aca="false">IF(OR($T45="",$E45=""),"",$T45/IF($P45="H",$E45,IF($P45="D",$F45,$G45))-1)</f>
        <v/>
      </c>
    </row>
    <row r="46" customFormat="false" ht="15" hidden="false" customHeight="false" outlineLevel="0" collapsed="false">
      <c r="A46" s="29" t="n">
        <v>46191</v>
      </c>
      <c r="B46" s="24" t="s">
        <v>115</v>
      </c>
      <c r="C46" s="30" t="s">
        <v>35</v>
      </c>
      <c r="D46" s="31" t="str">
        <f aca="false">IF($C46="","",IF(VALUE(LEFT($C46,FIND("-",$C46)-1))&gt;VALUE(MID($C46,FIND("-",$C46)+1,5)),"H",IF(VALUE(LEFT($C46,FIND("-",$C46)-1))=VALUE(MID($C46,FIND("-",$C46)+1,5)),"D","A")))</f>
        <v>D</v>
      </c>
      <c r="E46" s="31"/>
      <c r="F46" s="31"/>
      <c r="G46" s="31"/>
      <c r="H46" s="31"/>
      <c r="I46" s="32" t="str">
        <f aca="false">IF($E46="","",1/$E46+1/$F46+1/$G46)</f>
        <v/>
      </c>
      <c r="J46" s="33" t="str">
        <f aca="false">IF($E46="","",(1/$E46)/$I46)</f>
        <v/>
      </c>
      <c r="K46" s="33" t="str">
        <f aca="false">IF($E46="","",(1/$F46)/$I46)</f>
        <v/>
      </c>
      <c r="L46" s="33" t="str">
        <f aca="false">IF($E46="","",(1/$G46)/$I46)</f>
        <v/>
      </c>
      <c r="M46" s="34" t="str">
        <f aca="false">IF($E46="","",0.5*(($J46-($D46="H")*1)^2+(($J46+$K46)-(($D46="H")*1+($D46="D")*1))^2))</f>
        <v/>
      </c>
      <c r="N46" s="34" t="str">
        <f aca="false">IF($E46="","",($J46-($D46="H")*1)^2+($K46-($D46="D")*1)^2+($L46-($D46="A")*1)^2)</f>
        <v/>
      </c>
      <c r="O46" s="34" t="str">
        <f aca="false">IF($E46="","",-LN(IF($D46="H",$J46,IF($D46="D",$K46,$L46))))</f>
        <v/>
      </c>
      <c r="P46" s="31" t="str">
        <f aca="false">IF($E46="","",IF(AND($E46&lt;=$F46,$E46&lt;=$G46),"H",IF(AND($F46&lt;=$E46,$F46&lt;=$G46),"D","A")))</f>
        <v/>
      </c>
      <c r="Q46" s="34" t="str">
        <f aca="false">IF($E46="","",0.5*((($P46="H")*1-($D46="H")*1)^2+((($P46="H")*1+($P46="D")*1)-(($D46="H")*1+($D46="D")*1))^2))</f>
        <v/>
      </c>
      <c r="R46" s="35" t="str">
        <f aca="false">IF($E46="","",IF($P46=$D46,IF($P46="H",$E46,IF($P46="D",$F46,$G46))-1,-1))</f>
        <v/>
      </c>
      <c r="S46" s="34" t="str">
        <f aca="false">IF($E46="","",0.5*((1/3-($D46="H")*1)^2+((2/3)-(($D46="H")*1+($D46="D")*1))^2))</f>
        <v/>
      </c>
      <c r="T46" s="31"/>
      <c r="U46" s="33" t="str">
        <f aca="false">IF(OR($T46="",$E46=""),"",$T46/IF($P46="H",$E46,IF($P46="D",$F46,$G46))-1)</f>
        <v/>
      </c>
    </row>
    <row r="47" customFormat="false" ht="15" hidden="false" customHeight="false" outlineLevel="0" collapsed="false">
      <c r="A47" s="29" t="n">
        <v>46191</v>
      </c>
      <c r="B47" s="24" t="s">
        <v>118</v>
      </c>
      <c r="C47" s="30" t="s">
        <v>66</v>
      </c>
      <c r="D47" s="31" t="str">
        <f aca="false">IF($C47="","",IF(VALUE(LEFT($C47,FIND("-",$C47)-1))&gt;VALUE(MID($C47,FIND("-",$C47)+1,5)),"H",IF(VALUE(LEFT($C47,FIND("-",$C47)-1))=VALUE(MID($C47,FIND("-",$C47)+1,5)),"D","A")))</f>
        <v>H</v>
      </c>
      <c r="E47" s="31"/>
      <c r="F47" s="31"/>
      <c r="G47" s="31"/>
      <c r="H47" s="31"/>
      <c r="I47" s="32" t="str">
        <f aca="false">IF($E47="","",1/$E47+1/$F47+1/$G47)</f>
        <v/>
      </c>
      <c r="J47" s="33" t="str">
        <f aca="false">IF($E47="","",(1/$E47)/$I47)</f>
        <v/>
      </c>
      <c r="K47" s="33" t="str">
        <f aca="false">IF($E47="","",(1/$F47)/$I47)</f>
        <v/>
      </c>
      <c r="L47" s="33" t="str">
        <f aca="false">IF($E47="","",(1/$G47)/$I47)</f>
        <v/>
      </c>
      <c r="M47" s="34" t="str">
        <f aca="false">IF($E47="","",0.5*(($J47-($D47="H")*1)^2+(($J47+$K47)-(($D47="H")*1+($D47="D")*1))^2))</f>
        <v/>
      </c>
      <c r="N47" s="34" t="str">
        <f aca="false">IF($E47="","",($J47-($D47="H")*1)^2+($K47-($D47="D")*1)^2+($L47-($D47="A")*1)^2)</f>
        <v/>
      </c>
      <c r="O47" s="34" t="str">
        <f aca="false">IF($E47="","",-LN(IF($D47="H",$J47,IF($D47="D",$K47,$L47))))</f>
        <v/>
      </c>
      <c r="P47" s="31" t="str">
        <f aca="false">IF($E47="","",IF(AND($E47&lt;=$F47,$E47&lt;=$G47),"H",IF(AND($F47&lt;=$E47,$F47&lt;=$G47),"D","A")))</f>
        <v/>
      </c>
      <c r="Q47" s="34" t="str">
        <f aca="false">IF($E47="","",0.5*((($P47="H")*1-($D47="H")*1)^2+((($P47="H")*1+($P47="D")*1)-(($D47="H")*1+($D47="D")*1))^2))</f>
        <v/>
      </c>
      <c r="R47" s="35" t="str">
        <f aca="false">IF($E47="","",IF($P47=$D47,IF($P47="H",$E47,IF($P47="D",$F47,$G47))-1,-1))</f>
        <v/>
      </c>
      <c r="S47" s="34" t="str">
        <f aca="false">IF($E47="","",0.5*((1/3-($D47="H")*1)^2+((2/3)-(($D47="H")*1+($D47="D")*1))^2))</f>
        <v/>
      </c>
      <c r="T47" s="31"/>
      <c r="U47" s="33" t="str">
        <f aca="false">IF(OR($T47="",$E47=""),"",$T47/IF($P47="H",$E47,IF($P47="D",$F47,$G47))-1)</f>
        <v/>
      </c>
    </row>
    <row r="48" customFormat="false" ht="15" hidden="false" customHeight="false" outlineLevel="0" collapsed="false">
      <c r="A48" s="29" t="n">
        <v>46191</v>
      </c>
      <c r="B48" s="24" t="s">
        <v>120</v>
      </c>
      <c r="C48" s="30" t="s">
        <v>40</v>
      </c>
      <c r="D48" s="31" t="str">
        <f aca="false">IF($C48="","",IF(VALUE(LEFT($C48,FIND("-",$C48)-1))&gt;VALUE(MID($C48,FIND("-",$C48)+1,5)),"H",IF(VALUE(LEFT($C48,FIND("-",$C48)-1))=VALUE(MID($C48,FIND("-",$C48)+1,5)),"D","A")))</f>
        <v>H</v>
      </c>
      <c r="E48" s="31"/>
      <c r="F48" s="31"/>
      <c r="G48" s="31"/>
      <c r="H48" s="31"/>
      <c r="I48" s="32" t="str">
        <f aca="false">IF($E48="","",1/$E48+1/$F48+1/$G48)</f>
        <v/>
      </c>
      <c r="J48" s="33" t="str">
        <f aca="false">IF($E48="","",(1/$E48)/$I48)</f>
        <v/>
      </c>
      <c r="K48" s="33" t="str">
        <f aca="false">IF($E48="","",(1/$F48)/$I48)</f>
        <v/>
      </c>
      <c r="L48" s="33" t="str">
        <f aca="false">IF($E48="","",(1/$G48)/$I48)</f>
        <v/>
      </c>
      <c r="M48" s="34" t="str">
        <f aca="false">IF($E48="","",0.5*(($J48-($D48="H")*1)^2+(($J48+$K48)-(($D48="H")*1+($D48="D")*1))^2))</f>
        <v/>
      </c>
      <c r="N48" s="34" t="str">
        <f aca="false">IF($E48="","",($J48-($D48="H")*1)^2+($K48-($D48="D")*1)^2+($L48-($D48="A")*1)^2)</f>
        <v/>
      </c>
      <c r="O48" s="34" t="str">
        <f aca="false">IF($E48="","",-LN(IF($D48="H",$J48,IF($D48="D",$K48,$L48))))</f>
        <v/>
      </c>
      <c r="P48" s="31" t="str">
        <f aca="false">IF($E48="","",IF(AND($E48&lt;=$F48,$E48&lt;=$G48),"H",IF(AND($F48&lt;=$E48,$F48&lt;=$G48),"D","A")))</f>
        <v/>
      </c>
      <c r="Q48" s="34" t="str">
        <f aca="false">IF($E48="","",0.5*((($P48="H")*1-($D48="H")*1)^2+((($P48="H")*1+($P48="D")*1)-(($D48="H")*1+($D48="D")*1))^2))</f>
        <v/>
      </c>
      <c r="R48" s="35" t="str">
        <f aca="false">IF($E48="","",IF($P48=$D48,IF($P48="H",$E48,IF($P48="D",$F48,$G48))-1,-1))</f>
        <v/>
      </c>
      <c r="S48" s="34" t="str">
        <f aca="false">IF($E48="","",0.5*((1/3-($D48="H")*1)^2+((2/3)-(($D48="H")*1+($D48="D")*1))^2))</f>
        <v/>
      </c>
      <c r="T48" s="31"/>
      <c r="U48" s="33" t="str">
        <f aca="false">IF(OR($T48="",$E48=""),"",$T48/IF($P48="H",$E48,IF($P48="D",$F48,$G48))-1)</f>
        <v/>
      </c>
    </row>
    <row r="49" customFormat="false" ht="15" hidden="false" customHeight="false" outlineLevel="0" collapsed="false">
      <c r="A49" s="29" t="n">
        <v>46191</v>
      </c>
      <c r="B49" s="24" t="s">
        <v>121</v>
      </c>
      <c r="C49" s="30" t="s">
        <v>122</v>
      </c>
      <c r="D49" s="31" t="str">
        <f aca="false">IF($C49="","",IF(VALUE(LEFT($C49,FIND("-",$C49)-1))&gt;VALUE(MID($C49,FIND("-",$C49)+1,5)),"H",IF(VALUE(LEFT($C49,FIND("-",$C49)-1))=VALUE(MID($C49,FIND("-",$C49)+1,5)),"D","A")))</f>
        <v>H</v>
      </c>
      <c r="E49" s="31"/>
      <c r="F49" s="31"/>
      <c r="G49" s="31"/>
      <c r="H49" s="31"/>
      <c r="I49" s="32" t="str">
        <f aca="false">IF($E49="","",1/$E49+1/$F49+1/$G49)</f>
        <v/>
      </c>
      <c r="J49" s="33" t="str">
        <f aca="false">IF($E49="","",(1/$E49)/$I49)</f>
        <v/>
      </c>
      <c r="K49" s="33" t="str">
        <f aca="false">IF($E49="","",(1/$F49)/$I49)</f>
        <v/>
      </c>
      <c r="L49" s="33" t="str">
        <f aca="false">IF($E49="","",(1/$G49)/$I49)</f>
        <v/>
      </c>
      <c r="M49" s="34" t="str">
        <f aca="false">IF($E49="","",0.5*(($J49-($D49="H")*1)^2+(($J49+$K49)-(($D49="H")*1+($D49="D")*1))^2))</f>
        <v/>
      </c>
      <c r="N49" s="34" t="str">
        <f aca="false">IF($E49="","",($J49-($D49="H")*1)^2+($K49-($D49="D")*1)^2+($L49-($D49="A")*1)^2)</f>
        <v/>
      </c>
      <c r="O49" s="34" t="str">
        <f aca="false">IF($E49="","",-LN(IF($D49="H",$J49,IF($D49="D",$K49,$L49))))</f>
        <v/>
      </c>
      <c r="P49" s="31" t="str">
        <f aca="false">IF($E49="","",IF(AND($E49&lt;=$F49,$E49&lt;=$G49),"H",IF(AND($F49&lt;=$E49,$F49&lt;=$G49),"D","A")))</f>
        <v/>
      </c>
      <c r="Q49" s="34" t="str">
        <f aca="false">IF($E49="","",0.5*((($P49="H")*1-($D49="H")*1)^2+((($P49="H")*1+($P49="D")*1)-(($D49="H")*1+($D49="D")*1))^2))</f>
        <v/>
      </c>
      <c r="R49" s="35" t="str">
        <f aca="false">IF($E49="","",IF($P49=$D49,IF($P49="H",$E49,IF($P49="D",$F49,$G49))-1,-1))</f>
        <v/>
      </c>
      <c r="S49" s="34" t="str">
        <f aca="false">IF($E49="","",0.5*((1/3-($D49="H")*1)^2+((2/3)-(($D49="H")*1+($D49="D")*1))^2))</f>
        <v/>
      </c>
      <c r="T49" s="31"/>
      <c r="U49" s="33" t="str">
        <f aca="false">IF(OR($T49="",$E49=""),"",$T49/IF($P49="H",$E49,IF($P49="D",$F49,$G49))-1)</f>
        <v/>
      </c>
    </row>
    <row r="50" customFormat="false" ht="15" hidden="false" customHeight="false" outlineLevel="0" collapsed="false">
      <c r="A50" s="29" t="n">
        <v>46192</v>
      </c>
      <c r="B50" s="24" t="s">
        <v>123</v>
      </c>
      <c r="C50" s="30" t="s">
        <v>27</v>
      </c>
      <c r="D50" s="31" t="str">
        <f aca="false">IF($C50="","",IF(VALUE(LEFT($C50,FIND("-",$C50)-1))&gt;VALUE(MID($C50,FIND("-",$C50)+1,5)),"H",IF(VALUE(LEFT($C50,FIND("-",$C50)-1))=VALUE(MID($C50,FIND("-",$C50)+1,5)),"D","A")))</f>
        <v>H</v>
      </c>
      <c r="E50" s="31"/>
      <c r="F50" s="31"/>
      <c r="G50" s="31"/>
      <c r="H50" s="31"/>
      <c r="I50" s="32" t="str">
        <f aca="false">IF($E50="","",1/$E50+1/$F50+1/$G50)</f>
        <v/>
      </c>
      <c r="J50" s="33" t="str">
        <f aca="false">IF($E50="","",(1/$E50)/$I50)</f>
        <v/>
      </c>
      <c r="K50" s="33" t="str">
        <f aca="false">IF($E50="","",(1/$F50)/$I50)</f>
        <v/>
      </c>
      <c r="L50" s="33" t="str">
        <f aca="false">IF($E50="","",(1/$G50)/$I50)</f>
        <v/>
      </c>
      <c r="M50" s="34" t="str">
        <f aca="false">IF($E50="","",0.5*(($J50-($D50="H")*1)^2+(($J50+$K50)-(($D50="H")*1+($D50="D")*1))^2))</f>
        <v/>
      </c>
      <c r="N50" s="34" t="str">
        <f aca="false">IF($E50="","",($J50-($D50="H")*1)^2+($K50-($D50="D")*1)^2+($L50-($D50="A")*1)^2)</f>
        <v/>
      </c>
      <c r="O50" s="34" t="str">
        <f aca="false">IF($E50="","",-LN(IF($D50="H",$J50,IF($D50="D",$K50,$L50))))</f>
        <v/>
      </c>
      <c r="P50" s="31" t="str">
        <f aca="false">IF($E50="","",IF(AND($E50&lt;=$F50,$E50&lt;=$G50),"H",IF(AND($F50&lt;=$E50,$F50&lt;=$G50),"D","A")))</f>
        <v/>
      </c>
      <c r="Q50" s="34" t="str">
        <f aca="false">IF($E50="","",0.5*((($P50="H")*1-($D50="H")*1)^2+((($P50="H")*1+($P50="D")*1)-(($D50="H")*1+($D50="D")*1))^2))</f>
        <v/>
      </c>
      <c r="R50" s="35" t="str">
        <f aca="false">IF($E50="","",IF($P50=$D50,IF($P50="H",$E50,IF($P50="D",$F50,$G50))-1,-1))</f>
        <v/>
      </c>
      <c r="S50" s="34" t="str">
        <f aca="false">IF($E50="","",0.5*((1/3-($D50="H")*1)^2+((2/3)-(($D50="H")*1+($D50="D")*1))^2))</f>
        <v/>
      </c>
      <c r="T50" s="31"/>
      <c r="U50" s="33" t="str">
        <f aca="false">IF(OR($T50="",$E50=""),"",$T50/IF($P50="H",$E50,IF($P50="D",$F50,$G50))-1)</f>
        <v/>
      </c>
    </row>
    <row r="51" customFormat="false" ht="15" hidden="false" customHeight="false" outlineLevel="0" collapsed="false">
      <c r="A51" s="29" t="n">
        <v>46192</v>
      </c>
      <c r="B51" s="24" t="s">
        <v>125</v>
      </c>
      <c r="C51" s="30" t="s">
        <v>50</v>
      </c>
      <c r="D51" s="31" t="str">
        <f aca="false">IF($C51="","",IF(VALUE(LEFT($C51,FIND("-",$C51)-1))&gt;VALUE(MID($C51,FIND("-",$C51)+1,5)),"H",IF(VALUE(LEFT($C51,FIND("-",$C51)-1))=VALUE(MID($C51,FIND("-",$C51)+1,5)),"D","A")))</f>
        <v>A</v>
      </c>
      <c r="E51" s="31"/>
      <c r="F51" s="31"/>
      <c r="G51" s="31"/>
      <c r="H51" s="31"/>
      <c r="I51" s="32" t="str">
        <f aca="false">IF($E51="","",1/$E51+1/$F51+1/$G51)</f>
        <v/>
      </c>
      <c r="J51" s="33" t="str">
        <f aca="false">IF($E51="","",(1/$E51)/$I51)</f>
        <v/>
      </c>
      <c r="K51" s="33" t="str">
        <f aca="false">IF($E51="","",(1/$F51)/$I51)</f>
        <v/>
      </c>
      <c r="L51" s="33" t="str">
        <f aca="false">IF($E51="","",(1/$G51)/$I51)</f>
        <v/>
      </c>
      <c r="M51" s="34" t="str">
        <f aca="false">IF($E51="","",0.5*(($J51-($D51="H")*1)^2+(($J51+$K51)-(($D51="H")*1+($D51="D")*1))^2))</f>
        <v/>
      </c>
      <c r="N51" s="34" t="str">
        <f aca="false">IF($E51="","",($J51-($D51="H")*1)^2+($K51-($D51="D")*1)^2+($L51-($D51="A")*1)^2)</f>
        <v/>
      </c>
      <c r="O51" s="34" t="str">
        <f aca="false">IF($E51="","",-LN(IF($D51="H",$J51,IF($D51="D",$K51,$L51))))</f>
        <v/>
      </c>
      <c r="P51" s="31" t="str">
        <f aca="false">IF($E51="","",IF(AND($E51&lt;=$F51,$E51&lt;=$G51),"H",IF(AND($F51&lt;=$E51,$F51&lt;=$G51),"D","A")))</f>
        <v/>
      </c>
      <c r="Q51" s="34" t="str">
        <f aca="false">IF($E51="","",0.5*((($P51="H")*1-($D51="H")*1)^2+((($P51="H")*1+($P51="D")*1)-(($D51="H")*1+($D51="D")*1))^2))</f>
        <v/>
      </c>
      <c r="R51" s="35" t="str">
        <f aca="false">IF($E51="","",IF($P51=$D51,IF($P51="H",$E51,IF($P51="D",$F51,$G51))-1,-1))</f>
        <v/>
      </c>
      <c r="S51" s="34" t="str">
        <f aca="false">IF($E51="","",0.5*((1/3-($D51="H")*1)^2+((2/3)-(($D51="H")*1+($D51="D")*1))^2))</f>
        <v/>
      </c>
      <c r="T51" s="31"/>
      <c r="U51" s="33" t="str">
        <f aca="false">IF(OR($T51="",$E51=""),"",$T51/IF($P51="H",$E51,IF($P51="D",$F51,$G51))-1)</f>
        <v/>
      </c>
    </row>
    <row r="52" customFormat="false" ht="15" hidden="false" customHeight="false" outlineLevel="0" collapsed="false">
      <c r="A52" s="29" t="n">
        <v>46192</v>
      </c>
      <c r="B52" s="24" t="s">
        <v>127</v>
      </c>
      <c r="C52" s="30" t="s">
        <v>96</v>
      </c>
      <c r="D52" s="31" t="str">
        <f aca="false">IF($C52="","",IF(VALUE(LEFT($C52,FIND("-",$C52)-1))&gt;VALUE(MID($C52,FIND("-",$C52)+1,5)),"H",IF(VALUE(LEFT($C52,FIND("-",$C52)-1))=VALUE(MID($C52,FIND("-",$C52)+1,5)),"D","A")))</f>
        <v>H</v>
      </c>
      <c r="E52" s="31"/>
      <c r="F52" s="31"/>
      <c r="G52" s="31"/>
      <c r="H52" s="31"/>
      <c r="I52" s="32" t="str">
        <f aca="false">IF($E52="","",1/$E52+1/$F52+1/$G52)</f>
        <v/>
      </c>
      <c r="J52" s="33" t="str">
        <f aca="false">IF($E52="","",(1/$E52)/$I52)</f>
        <v/>
      </c>
      <c r="K52" s="33" t="str">
        <f aca="false">IF($E52="","",(1/$F52)/$I52)</f>
        <v/>
      </c>
      <c r="L52" s="33" t="str">
        <f aca="false">IF($E52="","",(1/$G52)/$I52)</f>
        <v/>
      </c>
      <c r="M52" s="34" t="str">
        <f aca="false">IF($E52="","",0.5*(($J52-($D52="H")*1)^2+(($J52+$K52)-(($D52="H")*1+($D52="D")*1))^2))</f>
        <v/>
      </c>
      <c r="N52" s="34" t="str">
        <f aca="false">IF($E52="","",($J52-($D52="H")*1)^2+($K52-($D52="D")*1)^2+($L52-($D52="A")*1)^2)</f>
        <v/>
      </c>
      <c r="O52" s="34" t="str">
        <f aca="false">IF($E52="","",-LN(IF($D52="H",$J52,IF($D52="D",$K52,$L52))))</f>
        <v/>
      </c>
      <c r="P52" s="31" t="str">
        <f aca="false">IF($E52="","",IF(AND($E52&lt;=$F52,$E52&lt;=$G52),"H",IF(AND($F52&lt;=$E52,$F52&lt;=$G52),"D","A")))</f>
        <v/>
      </c>
      <c r="Q52" s="34" t="str">
        <f aca="false">IF($E52="","",0.5*((($P52="H")*1-($D52="H")*1)^2+((($P52="H")*1+($P52="D")*1)-(($D52="H")*1+($D52="D")*1))^2))</f>
        <v/>
      </c>
      <c r="R52" s="35" t="str">
        <f aca="false">IF($E52="","",IF($P52=$D52,IF($P52="H",$E52,IF($P52="D",$F52,$G52))-1,-1))</f>
        <v/>
      </c>
      <c r="S52" s="34" t="str">
        <f aca="false">IF($E52="","",0.5*((1/3-($D52="H")*1)^2+((2/3)-(($D52="H")*1+($D52="D")*1))^2))</f>
        <v/>
      </c>
      <c r="T52" s="31"/>
      <c r="U52" s="33" t="str">
        <f aca="false">IF(OR($T52="",$E52=""),"",$T52/IF($P52="H",$E52,IF($P52="D",$F52,$G52))-1)</f>
        <v/>
      </c>
    </row>
    <row r="53" customFormat="false" ht="15" hidden="false" customHeight="false" outlineLevel="0" collapsed="false">
      <c r="A53" s="29" t="n">
        <v>46192</v>
      </c>
      <c r="B53" s="24" t="s">
        <v>128</v>
      </c>
      <c r="C53" s="30" t="s">
        <v>50</v>
      </c>
      <c r="D53" s="31" t="str">
        <f aca="false">IF($C53="","",IF(VALUE(LEFT($C53,FIND("-",$C53)-1))&gt;VALUE(MID($C53,FIND("-",$C53)+1,5)),"H",IF(VALUE(LEFT($C53,FIND("-",$C53)-1))=VALUE(MID($C53,FIND("-",$C53)+1,5)),"D","A")))</f>
        <v>A</v>
      </c>
      <c r="E53" s="35" t="n">
        <v>2.05</v>
      </c>
      <c r="F53" s="35" t="n">
        <v>3.35</v>
      </c>
      <c r="G53" s="35" t="n">
        <v>3.85</v>
      </c>
      <c r="H53" s="31" t="s">
        <v>279</v>
      </c>
      <c r="I53" s="32" t="n">
        <f aca="false">IF($E53="","",1/$E53+1/$F53+1/$G53)</f>
        <v>1.04605260047561</v>
      </c>
      <c r="J53" s="33" t="n">
        <f aca="false">IF($E53="","",(1/$E53)/$I53)</f>
        <v>0.46632920545964</v>
      </c>
      <c r="K53" s="33" t="n">
        <f aca="false">IF($E53="","",(1/$F53)/$I53)</f>
        <v>0.28536563319172</v>
      </c>
      <c r="L53" s="33" t="n">
        <f aca="false">IF($E53="","",(1/$G53)/$I53)</f>
        <v>0.24830516134864</v>
      </c>
      <c r="M53" s="34" t="n">
        <f aca="false">IF($E53="","",0.5*(($J53-($D53="H")*1)^2+(($J53+$K53)-(($D53="H")*1+($D53="D")*1))^2))</f>
        <v>0.391254029159857</v>
      </c>
      <c r="N53" s="34" t="n">
        <f aca="false">IF($E53="","",($J53-($D53="H")*1)^2+($K53-($D53="D")*1)^2+($L53-($D53="A")*1)^2)</f>
        <v>0.863941602926626</v>
      </c>
      <c r="O53" s="34" t="n">
        <f aca="false">IF($E53="","",-LN(IF($D53="H",$J53,IF($D53="D",$K53,$L53))))</f>
        <v>1.39309679993964</v>
      </c>
      <c r="P53" s="31" t="str">
        <f aca="false">IF($E53="","",IF(AND($E53&lt;=$F53,$E53&lt;=$G53),"H",IF(AND($F53&lt;=$E53,$F53&lt;=$G53),"D","A")))</f>
        <v>H</v>
      </c>
      <c r="Q53" s="34" t="n">
        <f aca="false">IF($E53="","",0.5*((($P53="H")*1-($D53="H")*1)^2+((($P53="H")*1+($P53="D")*1)-(($D53="H")*1+($D53="D")*1))^2))</f>
        <v>1</v>
      </c>
      <c r="R53" s="35" t="n">
        <f aca="false">IF($E53="","",IF($P53=$D53,IF($P53="H",$E53,IF($P53="D",$F53,$G53))-1,-1))</f>
        <v>-1</v>
      </c>
      <c r="S53" s="34" t="n">
        <f aca="false">IF($E53="","",0.5*((1/3-($D53="H")*1)^2+((2/3)-(($D53="H")*1+($D53="D")*1))^2))</f>
        <v>0.277777777777778</v>
      </c>
      <c r="T53" s="31"/>
      <c r="U53" s="33" t="str">
        <f aca="false">IF(OR($T53="",$E53=""),"",$T53/IF($P53="H",$E53,IF($P53="D",$F53,$G53))-1)</f>
        <v/>
      </c>
    </row>
    <row r="54" customFormat="false" ht="15" hidden="false" customHeight="false" outlineLevel="0" collapsed="false">
      <c r="A54" s="29" t="n">
        <v>46193</v>
      </c>
      <c r="B54" s="24" t="s">
        <v>131</v>
      </c>
      <c r="C54" s="30" t="s">
        <v>71</v>
      </c>
      <c r="D54" s="31" t="str">
        <f aca="false">IF($C54="","",IF(VALUE(LEFT($C54,FIND("-",$C54)-1))&gt;VALUE(MID($C54,FIND("-",$C54)+1,5)),"H",IF(VALUE(LEFT($C54,FIND("-",$C54)-1))=VALUE(MID($C54,FIND("-",$C54)+1,5)),"D","A")))</f>
        <v>H</v>
      </c>
      <c r="E54" s="31"/>
      <c r="F54" s="31"/>
      <c r="G54" s="31"/>
      <c r="H54" s="31"/>
      <c r="I54" s="32" t="str">
        <f aca="false">IF($E54="","",1/$E54+1/$F54+1/$G54)</f>
        <v/>
      </c>
      <c r="J54" s="33" t="str">
        <f aca="false">IF($E54="","",(1/$E54)/$I54)</f>
        <v/>
      </c>
      <c r="K54" s="33" t="str">
        <f aca="false">IF($E54="","",(1/$F54)/$I54)</f>
        <v/>
      </c>
      <c r="L54" s="33" t="str">
        <f aca="false">IF($E54="","",(1/$G54)/$I54)</f>
        <v/>
      </c>
      <c r="M54" s="34" t="str">
        <f aca="false">IF($E54="","",0.5*(($J54-($D54="H")*1)^2+(($J54+$K54)-(($D54="H")*1+($D54="D")*1))^2))</f>
        <v/>
      </c>
      <c r="N54" s="34" t="str">
        <f aca="false">IF($E54="","",($J54-($D54="H")*1)^2+($K54-($D54="D")*1)^2+($L54-($D54="A")*1)^2)</f>
        <v/>
      </c>
      <c r="O54" s="34" t="str">
        <f aca="false">IF($E54="","",-LN(IF($D54="H",$J54,IF($D54="D",$K54,$L54))))</f>
        <v/>
      </c>
      <c r="P54" s="31" t="str">
        <f aca="false">IF($E54="","",IF(AND($E54&lt;=$F54,$E54&lt;=$G54),"H",IF(AND($F54&lt;=$E54,$F54&lt;=$G54),"D","A")))</f>
        <v/>
      </c>
      <c r="Q54" s="34" t="str">
        <f aca="false">IF($E54="","",0.5*((($P54="H")*1-($D54="H")*1)^2+((($P54="H")*1+($P54="D")*1)-(($D54="H")*1+($D54="D")*1))^2))</f>
        <v/>
      </c>
      <c r="R54" s="35" t="str">
        <f aca="false">IF($E54="","",IF($P54=$D54,IF($P54="H",$E54,IF($P54="D",$F54,$G54))-1,-1))</f>
        <v/>
      </c>
      <c r="S54" s="34" t="str">
        <f aca="false">IF($E54="","",0.5*((1/3-($D54="H")*1)^2+((2/3)-(($D54="H")*1+($D54="D")*1))^2))</f>
        <v/>
      </c>
      <c r="T54" s="31"/>
      <c r="U54" s="33" t="str">
        <f aca="false">IF(OR($T54="",$E54=""),"",$T54/IF($P54="H",$E54,IF($P54="D",$F54,$G54))-1)</f>
        <v/>
      </c>
    </row>
    <row r="55" customFormat="false" ht="15" hidden="false" customHeight="false" outlineLevel="0" collapsed="false">
      <c r="A55" s="29" t="n">
        <v>46193</v>
      </c>
      <c r="B55" s="24" t="s">
        <v>132</v>
      </c>
      <c r="C55" s="30" t="s">
        <v>31</v>
      </c>
      <c r="D55" s="31" t="str">
        <f aca="false">IF($C55="","",IF(VALUE(LEFT($C55,FIND("-",$C55)-1))&gt;VALUE(MID($C55,FIND("-",$C55)+1,5)),"H",IF(VALUE(LEFT($C55,FIND("-",$C55)-1))=VALUE(MID($C55,FIND("-",$C55)+1,5)),"D","A")))</f>
        <v>H</v>
      </c>
      <c r="E55" s="31"/>
      <c r="F55" s="31"/>
      <c r="G55" s="31"/>
      <c r="H55" s="31"/>
      <c r="I55" s="32" t="str">
        <f aca="false">IF($E55="","",1/$E55+1/$F55+1/$G55)</f>
        <v/>
      </c>
      <c r="J55" s="33" t="str">
        <f aca="false">IF($E55="","",(1/$E55)/$I55)</f>
        <v/>
      </c>
      <c r="K55" s="33" t="str">
        <f aca="false">IF($E55="","",(1/$F55)/$I55)</f>
        <v/>
      </c>
      <c r="L55" s="33" t="str">
        <f aca="false">IF($E55="","",(1/$G55)/$I55)</f>
        <v/>
      </c>
      <c r="M55" s="34" t="str">
        <f aca="false">IF($E55="","",0.5*(($J55-($D55="H")*1)^2+(($J55+$K55)-(($D55="H")*1+($D55="D")*1))^2))</f>
        <v/>
      </c>
      <c r="N55" s="34" t="str">
        <f aca="false">IF($E55="","",($J55-($D55="H")*1)^2+($K55-($D55="D")*1)^2+($L55-($D55="A")*1)^2)</f>
        <v/>
      </c>
      <c r="O55" s="34" t="str">
        <f aca="false">IF($E55="","",-LN(IF($D55="H",$J55,IF($D55="D",$K55,$L55))))</f>
        <v/>
      </c>
      <c r="P55" s="31" t="str">
        <f aca="false">IF($E55="","",IF(AND($E55&lt;=$F55,$E55&lt;=$G55),"H",IF(AND($F55&lt;=$E55,$F55&lt;=$G55),"D","A")))</f>
        <v/>
      </c>
      <c r="Q55" s="34" t="str">
        <f aca="false">IF($E55="","",0.5*((($P55="H")*1-($D55="H")*1)^2+((($P55="H")*1+($P55="D")*1)-(($D55="H")*1+($D55="D")*1))^2))</f>
        <v/>
      </c>
      <c r="R55" s="35" t="str">
        <f aca="false">IF($E55="","",IF($P55=$D55,IF($P55="H",$E55,IF($P55="D",$F55,$G55))-1,-1))</f>
        <v/>
      </c>
      <c r="S55" s="34" t="str">
        <f aca="false">IF($E55="","",0.5*((1/3-($D55="H")*1)^2+((2/3)-(($D55="H")*1+($D55="D")*1))^2))</f>
        <v/>
      </c>
      <c r="T55" s="31"/>
      <c r="U55" s="33" t="str">
        <f aca="false">IF(OR($T55="",$E55=""),"",$T55/IF($P55="H",$E55,IF($P55="D",$F55,$G55))-1)</f>
        <v/>
      </c>
    </row>
    <row r="56" customFormat="false" ht="15" hidden="false" customHeight="false" outlineLevel="0" collapsed="false">
      <c r="A56" s="29" t="n">
        <v>46193</v>
      </c>
      <c r="B56" s="24" t="s">
        <v>133</v>
      </c>
      <c r="C56" s="30" t="s">
        <v>75</v>
      </c>
      <c r="D56" s="31" t="str">
        <f aca="false">IF($C56="","",IF(VALUE(LEFT($C56,FIND("-",$C56)-1))&gt;VALUE(MID($C56,FIND("-",$C56)+1,5)),"H",IF(VALUE(LEFT($C56,FIND("-",$C56)-1))=VALUE(MID($C56,FIND("-",$C56)+1,5)),"D","A")))</f>
        <v>D</v>
      </c>
      <c r="E56" s="31"/>
      <c r="F56" s="31"/>
      <c r="G56" s="31"/>
      <c r="H56" s="31"/>
      <c r="I56" s="32" t="str">
        <f aca="false">IF($E56="","",1/$E56+1/$F56+1/$G56)</f>
        <v/>
      </c>
      <c r="J56" s="33" t="str">
        <f aca="false">IF($E56="","",(1/$E56)/$I56)</f>
        <v/>
      </c>
      <c r="K56" s="33" t="str">
        <f aca="false">IF($E56="","",(1/$F56)/$I56)</f>
        <v/>
      </c>
      <c r="L56" s="33" t="str">
        <f aca="false">IF($E56="","",(1/$G56)/$I56)</f>
        <v/>
      </c>
      <c r="M56" s="34" t="str">
        <f aca="false">IF($E56="","",0.5*(($J56-($D56="H")*1)^2+(($J56+$K56)-(($D56="H")*1+($D56="D")*1))^2))</f>
        <v/>
      </c>
      <c r="N56" s="34" t="str">
        <f aca="false">IF($E56="","",($J56-($D56="H")*1)^2+($K56-($D56="D")*1)^2+($L56-($D56="A")*1)^2)</f>
        <v/>
      </c>
      <c r="O56" s="34" t="str">
        <f aca="false">IF($E56="","",-LN(IF($D56="H",$J56,IF($D56="D",$K56,$L56))))</f>
        <v/>
      </c>
      <c r="P56" s="31" t="str">
        <f aca="false">IF($E56="","",IF(AND($E56&lt;=$F56,$E56&lt;=$G56),"H",IF(AND($F56&lt;=$E56,$F56&lt;=$G56),"D","A")))</f>
        <v/>
      </c>
      <c r="Q56" s="34" t="str">
        <f aca="false">IF($E56="","",0.5*((($P56="H")*1-($D56="H")*1)^2+((($P56="H")*1+($P56="D")*1)-(($D56="H")*1+($D56="D")*1))^2))</f>
        <v/>
      </c>
      <c r="R56" s="35" t="str">
        <f aca="false">IF($E56="","",IF($P56=$D56,IF($P56="H",$E56,IF($P56="D",$F56,$G56))-1,-1))</f>
        <v/>
      </c>
      <c r="S56" s="34" t="str">
        <f aca="false">IF($E56="","",0.5*((1/3-($D56="H")*1)^2+((2/3)-(($D56="H")*1+($D56="D")*1))^2))</f>
        <v/>
      </c>
      <c r="T56" s="31"/>
      <c r="U56" s="33" t="str">
        <f aca="false">IF(OR($T56="",$E56=""),"",$T56/IF($P56="H",$E56,IF($P56="D",$F56,$G56))-1)</f>
        <v/>
      </c>
    </row>
    <row r="57" customFormat="false" ht="15" hidden="false" customHeight="false" outlineLevel="0" collapsed="false">
      <c r="A57" s="29" t="n">
        <v>46194</v>
      </c>
      <c r="B57" s="24" t="s">
        <v>134</v>
      </c>
      <c r="C57" s="30" t="s">
        <v>136</v>
      </c>
      <c r="D57" s="31" t="str">
        <f aca="false">IF($C57="","",IF(VALUE(LEFT($C57,FIND("-",$C57)-1))&gt;VALUE(MID($C57,FIND("-",$C57)+1,5)),"H",IF(VALUE(LEFT($C57,FIND("-",$C57)-1))=VALUE(MID($C57,FIND("-",$C57)+1,5)),"D","A")))</f>
        <v>A</v>
      </c>
      <c r="E57" s="31"/>
      <c r="F57" s="31"/>
      <c r="G57" s="31"/>
      <c r="H57" s="31"/>
      <c r="I57" s="32" t="str">
        <f aca="false">IF($E57="","",1/$E57+1/$F57+1/$G57)</f>
        <v/>
      </c>
      <c r="J57" s="33" t="str">
        <f aca="false">IF($E57="","",(1/$E57)/$I57)</f>
        <v/>
      </c>
      <c r="K57" s="33" t="str">
        <f aca="false">IF($E57="","",(1/$F57)/$I57)</f>
        <v/>
      </c>
      <c r="L57" s="33" t="str">
        <f aca="false">IF($E57="","",(1/$G57)/$I57)</f>
        <v/>
      </c>
      <c r="M57" s="34" t="str">
        <f aca="false">IF($E57="","",0.5*(($J57-($D57="H")*1)^2+(($J57+$K57)-(($D57="H")*1+($D57="D")*1))^2))</f>
        <v/>
      </c>
      <c r="N57" s="34" t="str">
        <f aca="false">IF($E57="","",($J57-($D57="H")*1)^2+($K57-($D57="D")*1)^2+($L57-($D57="A")*1)^2)</f>
        <v/>
      </c>
      <c r="O57" s="34" t="str">
        <f aca="false">IF($E57="","",-LN(IF($D57="H",$J57,IF($D57="D",$K57,$L57))))</f>
        <v/>
      </c>
      <c r="P57" s="31" t="str">
        <f aca="false">IF($E57="","",IF(AND($E57&lt;=$F57,$E57&lt;=$G57),"H",IF(AND($F57&lt;=$E57,$F57&lt;=$G57),"D","A")))</f>
        <v/>
      </c>
      <c r="Q57" s="34" t="str">
        <f aca="false">IF($E57="","",0.5*((($P57="H")*1-($D57="H")*1)^2+((($P57="H")*1+($P57="D")*1)-(($D57="H")*1+($D57="D")*1))^2))</f>
        <v/>
      </c>
      <c r="R57" s="35" t="str">
        <f aca="false">IF($E57="","",IF($P57=$D57,IF($P57="H",$E57,IF($P57="D",$F57,$G57))-1,-1))</f>
        <v/>
      </c>
      <c r="S57" s="34" t="str">
        <f aca="false">IF($E57="","",0.5*((1/3-($D57="H")*1)^2+((2/3)-(($D57="H")*1+($D57="D")*1))^2))</f>
        <v/>
      </c>
      <c r="T57" s="31"/>
      <c r="U57" s="33" t="str">
        <f aca="false">IF(OR($T57="",$E57=""),"",$T57/IF($P57="H",$E57,IF($P57="D",$F57,$G57))-1)</f>
        <v/>
      </c>
    </row>
    <row r="58" customFormat="false" ht="15" hidden="false" customHeight="false" outlineLevel="0" collapsed="false">
      <c r="A58" s="29" t="n">
        <v>46194</v>
      </c>
      <c r="B58" s="24" t="s">
        <v>137</v>
      </c>
      <c r="C58" s="30" t="s">
        <v>138</v>
      </c>
      <c r="D58" s="31" t="str">
        <f aca="false">IF($C58="","",IF(VALUE(LEFT($C58,FIND("-",$C58)-1))&gt;VALUE(MID($C58,FIND("-",$C58)+1,5)),"H",IF(VALUE(LEFT($C58,FIND("-",$C58)-1))=VALUE(MID($C58,FIND("-",$C58)+1,5)),"D","A")))</f>
        <v>H</v>
      </c>
      <c r="E58" s="31"/>
      <c r="F58" s="31"/>
      <c r="G58" s="31"/>
      <c r="H58" s="31"/>
      <c r="I58" s="32" t="str">
        <f aca="false">IF($E58="","",1/$E58+1/$F58+1/$G58)</f>
        <v/>
      </c>
      <c r="J58" s="33" t="str">
        <f aca="false">IF($E58="","",(1/$E58)/$I58)</f>
        <v/>
      </c>
      <c r="K58" s="33" t="str">
        <f aca="false">IF($E58="","",(1/$F58)/$I58)</f>
        <v/>
      </c>
      <c r="L58" s="33" t="str">
        <f aca="false">IF($E58="","",(1/$G58)/$I58)</f>
        <v/>
      </c>
      <c r="M58" s="34" t="str">
        <f aca="false">IF($E58="","",0.5*(($J58-($D58="H")*1)^2+(($J58+$K58)-(($D58="H")*1+($D58="D")*1))^2))</f>
        <v/>
      </c>
      <c r="N58" s="34" t="str">
        <f aca="false">IF($E58="","",($J58-($D58="H")*1)^2+($K58-($D58="D")*1)^2+($L58-($D58="A")*1)^2)</f>
        <v/>
      </c>
      <c r="O58" s="34" t="str">
        <f aca="false">IF($E58="","",-LN(IF($D58="H",$J58,IF($D58="D",$K58,$L58))))</f>
        <v/>
      </c>
      <c r="P58" s="31" t="str">
        <f aca="false">IF($E58="","",IF(AND($E58&lt;=$F58,$E58&lt;=$G58),"H",IF(AND($F58&lt;=$E58,$F58&lt;=$G58),"D","A")))</f>
        <v/>
      </c>
      <c r="Q58" s="34" t="str">
        <f aca="false">IF($E58="","",0.5*((($P58="H")*1-($D58="H")*1)^2+((($P58="H")*1+($P58="D")*1)-(($D58="H")*1+($D58="D")*1))^2))</f>
        <v/>
      </c>
      <c r="R58" s="35" t="str">
        <f aca="false">IF($E58="","",IF($P58=$D58,IF($P58="H",$E58,IF($P58="D",$F58,$G58))-1,-1))</f>
        <v/>
      </c>
      <c r="S58" s="34" t="str">
        <f aca="false">IF($E58="","",0.5*((1/3-($D58="H")*1)^2+((2/3)-(($D58="H")*1+($D58="D")*1))^2))</f>
        <v/>
      </c>
      <c r="T58" s="31"/>
      <c r="U58" s="33" t="str">
        <f aca="false">IF(OR($T58="",$E58=""),"",$T58/IF($P58="H",$E58,IF($P58="D",$F58,$G58))-1)</f>
        <v/>
      </c>
    </row>
    <row r="59" customFormat="false" ht="15" hidden="false" customHeight="false" outlineLevel="0" collapsed="false">
      <c r="A59" s="29" t="n">
        <v>46194</v>
      </c>
      <c r="B59" s="24" t="s">
        <v>139</v>
      </c>
      <c r="C59" s="30" t="s">
        <v>75</v>
      </c>
      <c r="D59" s="31" t="str">
        <f aca="false">IF($C59="","",IF(VALUE(LEFT($C59,FIND("-",$C59)-1))&gt;VALUE(MID($C59,FIND("-",$C59)+1,5)),"H",IF(VALUE(LEFT($C59,FIND("-",$C59)-1))=VALUE(MID($C59,FIND("-",$C59)+1,5)),"D","A")))</f>
        <v>D</v>
      </c>
      <c r="E59" s="31"/>
      <c r="F59" s="31"/>
      <c r="G59" s="31"/>
      <c r="H59" s="31"/>
      <c r="I59" s="32" t="str">
        <f aca="false">IF($E59="","",1/$E59+1/$F59+1/$G59)</f>
        <v/>
      </c>
      <c r="J59" s="33" t="str">
        <f aca="false">IF($E59="","",(1/$E59)/$I59)</f>
        <v/>
      </c>
      <c r="K59" s="33" t="str">
        <f aca="false">IF($E59="","",(1/$F59)/$I59)</f>
        <v/>
      </c>
      <c r="L59" s="33" t="str">
        <f aca="false">IF($E59="","",(1/$G59)/$I59)</f>
        <v/>
      </c>
      <c r="M59" s="34" t="str">
        <f aca="false">IF($E59="","",0.5*(($J59-($D59="H")*1)^2+(($J59+$K59)-(($D59="H")*1+($D59="D")*1))^2))</f>
        <v/>
      </c>
      <c r="N59" s="34" t="str">
        <f aca="false">IF($E59="","",($J59-($D59="H")*1)^2+($K59-($D59="D")*1)^2+($L59-($D59="A")*1)^2)</f>
        <v/>
      </c>
      <c r="O59" s="34" t="str">
        <f aca="false">IF($E59="","",-LN(IF($D59="H",$J59,IF($D59="D",$K59,$L59))))</f>
        <v/>
      </c>
      <c r="P59" s="31" t="str">
        <f aca="false">IF($E59="","",IF(AND($E59&lt;=$F59,$E59&lt;=$G59),"H",IF(AND($F59&lt;=$E59,$F59&lt;=$G59),"D","A")))</f>
        <v/>
      </c>
      <c r="Q59" s="34" t="str">
        <f aca="false">IF($E59="","",0.5*((($P59="H")*1-($D59="H")*1)^2+((($P59="H")*1+($P59="D")*1)-(($D59="H")*1+($D59="D")*1))^2))</f>
        <v/>
      </c>
      <c r="R59" s="35" t="str">
        <f aca="false">IF($E59="","",IF($P59=$D59,IF($P59="H",$E59,IF($P59="D",$F59,$G59))-1,-1))</f>
        <v/>
      </c>
      <c r="S59" s="34" t="str">
        <f aca="false">IF($E59="","",0.5*((1/3-($D59="H")*1)^2+((2/3)-(($D59="H")*1+($D59="D")*1))^2))</f>
        <v/>
      </c>
      <c r="T59" s="31"/>
      <c r="U59" s="33" t="str">
        <f aca="false">IF(OR($T59="",$E59=""),"",$T59/IF($P59="H",$E59,IF($P59="D",$F59,$G59))-1)</f>
        <v/>
      </c>
    </row>
    <row r="60" customFormat="false" ht="15" hidden="false" customHeight="false" outlineLevel="0" collapsed="false">
      <c r="A60" s="29" t="n">
        <v>46194</v>
      </c>
      <c r="B60" s="24" t="s">
        <v>140</v>
      </c>
      <c r="C60" s="30" t="s">
        <v>35</v>
      </c>
      <c r="D60" s="31" t="str">
        <f aca="false">IF($C60="","",IF(VALUE(LEFT($C60,FIND("-",$C60)-1))&gt;VALUE(MID($C60,FIND("-",$C60)+1,5)),"H",IF(VALUE(LEFT($C60,FIND("-",$C60)-1))=VALUE(MID($C60,FIND("-",$C60)+1,5)),"D","A")))</f>
        <v>D</v>
      </c>
      <c r="E60" s="31"/>
      <c r="F60" s="31"/>
      <c r="G60" s="31"/>
      <c r="H60" s="31"/>
      <c r="I60" s="32" t="str">
        <f aca="false">IF($E60="","",1/$E60+1/$F60+1/$G60)</f>
        <v/>
      </c>
      <c r="J60" s="33" t="str">
        <f aca="false">IF($E60="","",(1/$E60)/$I60)</f>
        <v/>
      </c>
      <c r="K60" s="33" t="str">
        <f aca="false">IF($E60="","",(1/$F60)/$I60)</f>
        <v/>
      </c>
      <c r="L60" s="33" t="str">
        <f aca="false">IF($E60="","",(1/$G60)/$I60)</f>
        <v/>
      </c>
      <c r="M60" s="34" t="str">
        <f aca="false">IF($E60="","",0.5*(($J60-($D60="H")*1)^2+(($J60+$K60)-(($D60="H")*1+($D60="D")*1))^2))</f>
        <v/>
      </c>
      <c r="N60" s="34" t="str">
        <f aca="false">IF($E60="","",($J60-($D60="H")*1)^2+($K60-($D60="D")*1)^2+($L60-($D60="A")*1)^2)</f>
        <v/>
      </c>
      <c r="O60" s="34" t="str">
        <f aca="false">IF($E60="","",-LN(IF($D60="H",$J60,IF($D60="D",$K60,$L60))))</f>
        <v/>
      </c>
      <c r="P60" s="31" t="str">
        <f aca="false">IF($E60="","",IF(AND($E60&lt;=$F60,$E60&lt;=$G60),"H",IF(AND($F60&lt;=$E60,$F60&lt;=$G60),"D","A")))</f>
        <v/>
      </c>
      <c r="Q60" s="34" t="str">
        <f aca="false">IF($E60="","",0.5*((($P60="H")*1-($D60="H")*1)^2+((($P60="H")*1+($P60="D")*1)-(($D60="H")*1+($D60="D")*1))^2))</f>
        <v/>
      </c>
      <c r="R60" s="35" t="str">
        <f aca="false">IF($E60="","",IF($P60=$D60,IF($P60="H",$E60,IF($P60="D",$F60,$G60))-1,-1))</f>
        <v/>
      </c>
      <c r="S60" s="34" t="str">
        <f aca="false">IF($E60="","",0.5*((1/3-($D60="H")*1)^2+((2/3)-(($D60="H")*1+($D60="D")*1))^2))</f>
        <v/>
      </c>
      <c r="T60" s="31"/>
      <c r="U60" s="33" t="str">
        <f aca="false">IF(OR($T60="",$E60=""),"",$T60/IF($P60="H",$E60,IF($P60="D",$F60,$G60))-1)</f>
        <v/>
      </c>
    </row>
    <row r="61" customFormat="false" ht="15" hidden="false" customHeight="false" outlineLevel="0" collapsed="false">
      <c r="A61" s="29" t="n">
        <v>46194</v>
      </c>
      <c r="B61" s="24" t="s">
        <v>141</v>
      </c>
      <c r="C61" s="30" t="s">
        <v>113</v>
      </c>
      <c r="D61" s="31" t="str">
        <f aca="false">IF($C61="","",IF(VALUE(LEFT($C61,FIND("-",$C61)-1))&gt;VALUE(MID($C61,FIND("-",$C61)+1,5)),"H",IF(VALUE(LEFT($C61,FIND("-",$C61)-1))=VALUE(MID($C61,FIND("-",$C61)+1,5)),"D","A")))</f>
        <v>A</v>
      </c>
      <c r="E61" s="31"/>
      <c r="F61" s="31"/>
      <c r="G61" s="31"/>
      <c r="H61" s="31"/>
      <c r="I61" s="32" t="str">
        <f aca="false">IF($E61="","",1/$E61+1/$F61+1/$G61)</f>
        <v/>
      </c>
      <c r="J61" s="33" t="str">
        <f aca="false">IF($E61="","",(1/$E61)/$I61)</f>
        <v/>
      </c>
      <c r="K61" s="33" t="str">
        <f aca="false">IF($E61="","",(1/$F61)/$I61)</f>
        <v/>
      </c>
      <c r="L61" s="33" t="str">
        <f aca="false">IF($E61="","",(1/$G61)/$I61)</f>
        <v/>
      </c>
      <c r="M61" s="34" t="str">
        <f aca="false">IF($E61="","",0.5*(($J61-($D61="H")*1)^2+(($J61+$K61)-(($D61="H")*1+($D61="D")*1))^2))</f>
        <v/>
      </c>
      <c r="N61" s="34" t="str">
        <f aca="false">IF($E61="","",($J61-($D61="H")*1)^2+($K61-($D61="D")*1)^2+($L61-($D61="A")*1)^2)</f>
        <v/>
      </c>
      <c r="O61" s="34" t="str">
        <f aca="false">IF($E61="","",-LN(IF($D61="H",$J61,IF($D61="D",$K61,$L61))))</f>
        <v/>
      </c>
      <c r="P61" s="31" t="str">
        <f aca="false">IF($E61="","",IF(AND($E61&lt;=$F61,$E61&lt;=$G61),"H",IF(AND($F61&lt;=$E61,$F61&lt;=$G61),"D","A")))</f>
        <v/>
      </c>
      <c r="Q61" s="34" t="str">
        <f aca="false">IF($E61="","",0.5*((($P61="H")*1-($D61="H")*1)^2+((($P61="H")*1+($P61="D")*1)-(($D61="H")*1+($D61="D")*1))^2))</f>
        <v/>
      </c>
      <c r="R61" s="35" t="str">
        <f aca="false">IF($E61="","",IF($P61=$D61,IF($P61="H",$E61,IF($P61="D",$F61,$G61))-1,-1))</f>
        <v/>
      </c>
      <c r="S61" s="34" t="str">
        <f aca="false">IF($E61="","",0.5*((1/3-($D61="H")*1)^2+((2/3)-(($D61="H")*1+($D61="D")*1))^2))</f>
        <v/>
      </c>
      <c r="T61" s="31"/>
      <c r="U61" s="33" t="str">
        <f aca="false">IF(OR($T61="",$E61=""),"",$T61/IF($P61="H",$E61,IF($P61="D",$F61,$G61))-1)</f>
        <v/>
      </c>
    </row>
    <row r="62" customFormat="false" ht="15" hidden="false" customHeight="false" outlineLevel="0" collapsed="false">
      <c r="A62" s="29" t="n">
        <v>46195</v>
      </c>
      <c r="B62" s="24" t="s">
        <v>143</v>
      </c>
      <c r="C62" s="30" t="s">
        <v>27</v>
      </c>
      <c r="D62" s="31" t="str">
        <f aca="false">IF($C62="","",IF(VALUE(LEFT($C62,FIND("-",$C62)-1))&gt;VALUE(MID($C62,FIND("-",$C62)+1,5)),"H",IF(VALUE(LEFT($C62,FIND("-",$C62)-1))=VALUE(MID($C62,FIND("-",$C62)+1,5)),"D","A")))</f>
        <v>H</v>
      </c>
      <c r="E62" s="31"/>
      <c r="F62" s="31"/>
      <c r="G62" s="31"/>
      <c r="H62" s="31"/>
      <c r="I62" s="32" t="str">
        <f aca="false">IF($E62="","",1/$E62+1/$F62+1/$G62)</f>
        <v/>
      </c>
      <c r="J62" s="33" t="str">
        <f aca="false">IF($E62="","",(1/$E62)/$I62)</f>
        <v/>
      </c>
      <c r="K62" s="33" t="str">
        <f aca="false">IF($E62="","",(1/$F62)/$I62)</f>
        <v/>
      </c>
      <c r="L62" s="33" t="str">
        <f aca="false">IF($E62="","",(1/$G62)/$I62)</f>
        <v/>
      </c>
      <c r="M62" s="34" t="str">
        <f aca="false">IF($E62="","",0.5*(($J62-($D62="H")*1)^2+(($J62+$K62)-(($D62="H")*1+($D62="D")*1))^2))</f>
        <v/>
      </c>
      <c r="N62" s="34" t="str">
        <f aca="false">IF($E62="","",($J62-($D62="H")*1)^2+($K62-($D62="D")*1)^2+($L62-($D62="A")*1)^2)</f>
        <v/>
      </c>
      <c r="O62" s="34" t="str">
        <f aca="false">IF($E62="","",-LN(IF($D62="H",$J62,IF($D62="D",$K62,$L62))))</f>
        <v/>
      </c>
      <c r="P62" s="31" t="str">
        <f aca="false">IF($E62="","",IF(AND($E62&lt;=$F62,$E62&lt;=$G62),"H",IF(AND($F62&lt;=$E62,$F62&lt;=$G62),"D","A")))</f>
        <v/>
      </c>
      <c r="Q62" s="34" t="str">
        <f aca="false">IF($E62="","",0.5*((($P62="H")*1-($D62="H")*1)^2+((($P62="H")*1+($P62="D")*1)-(($D62="H")*1+($D62="D")*1))^2))</f>
        <v/>
      </c>
      <c r="R62" s="35" t="str">
        <f aca="false">IF($E62="","",IF($P62=$D62,IF($P62="H",$E62,IF($P62="D",$F62,$G62))-1,-1))</f>
        <v/>
      </c>
      <c r="S62" s="34" t="str">
        <f aca="false">IF($E62="","",0.5*((1/3-($D62="H")*1)^2+((2/3)-(($D62="H")*1+($D62="D")*1))^2))</f>
        <v/>
      </c>
      <c r="T62" s="31"/>
      <c r="U62" s="33" t="str">
        <f aca="false">IF(OR($T62="",$E62=""),"",$T62/IF($P62="H",$E62,IF($P62="D",$F62,$G62))-1)</f>
        <v/>
      </c>
    </row>
    <row r="63" customFormat="false" ht="15" hidden="false" customHeight="false" outlineLevel="0" collapsed="false">
      <c r="A63" s="29" t="n">
        <v>46195</v>
      </c>
      <c r="B63" s="24" t="s">
        <v>144</v>
      </c>
      <c r="C63" s="30" t="s">
        <v>96</v>
      </c>
      <c r="D63" s="31" t="str">
        <f aca="false">IF($C63="","",IF(VALUE(LEFT($C63,FIND("-",$C63)-1))&gt;VALUE(MID($C63,FIND("-",$C63)+1,5)),"H",IF(VALUE(LEFT($C63,FIND("-",$C63)-1))=VALUE(MID($C63,FIND("-",$C63)+1,5)),"D","A")))</f>
        <v>H</v>
      </c>
      <c r="E63" s="31"/>
      <c r="F63" s="31"/>
      <c r="G63" s="31"/>
      <c r="H63" s="31"/>
      <c r="I63" s="32" t="str">
        <f aca="false">IF($E63="","",1/$E63+1/$F63+1/$G63)</f>
        <v/>
      </c>
      <c r="J63" s="33" t="str">
        <f aca="false">IF($E63="","",(1/$E63)/$I63)</f>
        <v/>
      </c>
      <c r="K63" s="33" t="str">
        <f aca="false">IF($E63="","",(1/$F63)/$I63)</f>
        <v/>
      </c>
      <c r="L63" s="33" t="str">
        <f aca="false">IF($E63="","",(1/$G63)/$I63)</f>
        <v/>
      </c>
      <c r="M63" s="34" t="str">
        <f aca="false">IF($E63="","",0.5*(($J63-($D63="H")*1)^2+(($J63+$K63)-(($D63="H")*1+($D63="D")*1))^2))</f>
        <v/>
      </c>
      <c r="N63" s="34" t="str">
        <f aca="false">IF($E63="","",($J63-($D63="H")*1)^2+($K63-($D63="D")*1)^2+($L63-($D63="A")*1)^2)</f>
        <v/>
      </c>
      <c r="O63" s="34" t="str">
        <f aca="false">IF($E63="","",-LN(IF($D63="H",$J63,IF($D63="D",$K63,$L63))))</f>
        <v/>
      </c>
      <c r="P63" s="31" t="str">
        <f aca="false">IF($E63="","",IF(AND($E63&lt;=$F63,$E63&lt;=$G63),"H",IF(AND($F63&lt;=$E63,$F63&lt;=$G63),"D","A")))</f>
        <v/>
      </c>
      <c r="Q63" s="34" t="str">
        <f aca="false">IF($E63="","",0.5*((($P63="H")*1-($D63="H")*1)^2+((($P63="H")*1+($P63="D")*1)-(($D63="H")*1+($D63="D")*1))^2))</f>
        <v/>
      </c>
      <c r="R63" s="35" t="str">
        <f aca="false">IF($E63="","",IF($P63=$D63,IF($P63="H",$E63,IF($P63="D",$F63,$G63))-1,-1))</f>
        <v/>
      </c>
      <c r="S63" s="34" t="str">
        <f aca="false">IF($E63="","",0.5*((1/3-($D63="H")*1)^2+((2/3)-(($D63="H")*1+($D63="D")*1))^2))</f>
        <v/>
      </c>
      <c r="T63" s="31"/>
      <c r="U63" s="33" t="str">
        <f aca="false">IF(OR($T63="",$E63=""),"",$T63/IF($P63="H",$E63,IF($P63="D",$F63,$G63))-1)</f>
        <v/>
      </c>
    </row>
    <row r="64" customFormat="false" ht="15" hidden="false" customHeight="false" outlineLevel="0" collapsed="false">
      <c r="A64" s="29" t="n">
        <v>46195</v>
      </c>
      <c r="B64" s="24" t="s">
        <v>145</v>
      </c>
      <c r="C64" s="30" t="s">
        <v>147</v>
      </c>
      <c r="D64" s="31" t="str">
        <f aca="false">IF($C64="","",IF(VALUE(LEFT($C64,FIND("-",$C64)-1))&gt;VALUE(MID($C64,FIND("-",$C64)+1,5)),"H",IF(VALUE(LEFT($C64,FIND("-",$C64)-1))=VALUE(MID($C64,FIND("-",$C64)+1,5)),"D","A")))</f>
        <v>H</v>
      </c>
      <c r="E64" s="35" t="n">
        <v>2.22</v>
      </c>
      <c r="F64" s="35" t="n">
        <v>3.57</v>
      </c>
      <c r="G64" s="35" t="n">
        <v>3.45</v>
      </c>
      <c r="H64" s="31" t="s">
        <v>280</v>
      </c>
      <c r="I64" s="32" t="n">
        <f aca="false">IF($E64="","",1/$E64+1/$F64+1/$G64)</f>
        <v>1.02041756773215</v>
      </c>
      <c r="J64" s="33" t="n">
        <f aca="false">IF($E64="","",(1/$E64)/$I64)</f>
        <v>0.441437372987968</v>
      </c>
      <c r="K64" s="33" t="n">
        <f aca="false">IF($E64="","",(1/$F64)/$I64)</f>
        <v>0.274507273958905</v>
      </c>
      <c r="L64" s="33" t="n">
        <f aca="false">IF($E64="","",(1/$G64)/$I64)</f>
        <v>0.284055353053127</v>
      </c>
      <c r="M64" s="34" t="n">
        <f aca="false">IF($E64="","",0.5*(($J64-($D64="H")*1)^2+(($J64+$K64)-(($D64="H")*1+($D64="D")*1))^2))</f>
        <v>0.19633982594636</v>
      </c>
      <c r="N64" s="34" t="n">
        <f aca="false">IF($E64="","",($J64-($D64="H")*1)^2+($K64-($D64="D")*1)^2+($L64-($D64="A")*1)^2)</f>
        <v>0.468033895349068</v>
      </c>
      <c r="O64" s="34" t="n">
        <f aca="false">IF($E64="","",-LN(IF($D64="H",$J64,IF($D64="D",$K64,$L64))))</f>
        <v>0.81771911953674</v>
      </c>
      <c r="P64" s="31" t="str">
        <f aca="false">IF($E64="","",IF(AND($E64&lt;=$F64,$E64&lt;=$G64),"H",IF(AND($F64&lt;=$E64,$F64&lt;=$G64),"D","A")))</f>
        <v>H</v>
      </c>
      <c r="Q64" s="34" t="n">
        <f aca="false">IF($E64="","",0.5*((($P64="H")*1-($D64="H")*1)^2+((($P64="H")*1+($P64="D")*1)-(($D64="H")*1+($D64="D")*1))^2))</f>
        <v>0</v>
      </c>
      <c r="R64" s="35" t="n">
        <f aca="false">IF($E64="","",IF($P64=$D64,IF($P64="H",$E64,IF($P64="D",$F64,$G64))-1,-1))</f>
        <v>1.22</v>
      </c>
      <c r="S64" s="34" t="n">
        <f aca="false">IF($E64="","",0.5*((1/3-($D64="H")*1)^2+((2/3)-(($D64="H")*1+($D64="D")*1))^2))</f>
        <v>0.277777777777778</v>
      </c>
      <c r="T64" s="31"/>
      <c r="U64" s="33" t="str">
        <f aca="false">IF(OR($T64="",$E64=""),"",$T64/IF($P64="H",$E64,IF($P64="D",$F64,$G64))-1)</f>
        <v/>
      </c>
    </row>
    <row r="65" customFormat="false" ht="15" hidden="false" customHeight="false" outlineLevel="0" collapsed="false">
      <c r="A65" s="29" t="n">
        <v>46195</v>
      </c>
      <c r="B65" s="24" t="s">
        <v>148</v>
      </c>
      <c r="C65" s="30" t="s">
        <v>150</v>
      </c>
      <c r="D65" s="31" t="str">
        <f aca="false">IF($C65="","",IF(VALUE(LEFT($C65,FIND("-",$C65)-1))&gt;VALUE(MID($C65,FIND("-",$C65)+1,5)),"H",IF(VALUE(LEFT($C65,FIND("-",$C65)-1))=VALUE(MID($C65,FIND("-",$C65)+1,5)),"D","A")))</f>
        <v>A</v>
      </c>
      <c r="E65" s="31"/>
      <c r="F65" s="31"/>
      <c r="G65" s="31"/>
      <c r="H65" s="31"/>
      <c r="I65" s="32" t="str">
        <f aca="false">IF($E65="","",1/$E65+1/$F65+1/$G65)</f>
        <v/>
      </c>
      <c r="J65" s="33" t="str">
        <f aca="false">IF($E65="","",(1/$E65)/$I65)</f>
        <v/>
      </c>
      <c r="K65" s="33" t="str">
        <f aca="false">IF($E65="","",(1/$F65)/$I65)</f>
        <v/>
      </c>
      <c r="L65" s="33" t="str">
        <f aca="false">IF($E65="","",(1/$G65)/$I65)</f>
        <v/>
      </c>
      <c r="M65" s="34" t="str">
        <f aca="false">IF($E65="","",0.5*(($J65-($D65="H")*1)^2+(($J65+$K65)-(($D65="H")*1+($D65="D")*1))^2))</f>
        <v/>
      </c>
      <c r="N65" s="34" t="str">
        <f aca="false">IF($E65="","",($J65-($D65="H")*1)^2+($K65-($D65="D")*1)^2+($L65-($D65="A")*1)^2)</f>
        <v/>
      </c>
      <c r="O65" s="34" t="str">
        <f aca="false">IF($E65="","",-LN(IF($D65="H",$J65,IF($D65="D",$K65,$L65))))</f>
        <v/>
      </c>
      <c r="P65" s="31" t="str">
        <f aca="false">IF($E65="","",IF(AND($E65&lt;=$F65,$E65&lt;=$G65),"H",IF(AND($F65&lt;=$E65,$F65&lt;=$G65),"D","A")))</f>
        <v/>
      </c>
      <c r="Q65" s="34" t="str">
        <f aca="false">IF($E65="","",0.5*((($P65="H")*1-($D65="H")*1)^2+((($P65="H")*1+($P65="D")*1)-(($D65="H")*1+($D65="D")*1))^2))</f>
        <v/>
      </c>
      <c r="R65" s="35" t="str">
        <f aca="false">IF($E65="","",IF($P65=$D65,IF($P65="H",$E65,IF($P65="D",$F65,$G65))-1,-1))</f>
        <v/>
      </c>
      <c r="S65" s="34" t="str">
        <f aca="false">IF($E65="","",0.5*((1/3-($D65="H")*1)^2+((2/3)-(($D65="H")*1+($D65="D")*1))^2))</f>
        <v/>
      </c>
      <c r="T65" s="31"/>
      <c r="U65" s="33" t="str">
        <f aca="false">IF(OR($T65="",$E65=""),"",$T65/IF($P65="H",$E65,IF($P65="D",$F65,$G65))-1)</f>
        <v/>
      </c>
    </row>
    <row r="66" customFormat="false" ht="15" hidden="false" customHeight="false" outlineLevel="0" collapsed="false">
      <c r="A66" s="29" t="n">
        <v>46196</v>
      </c>
      <c r="B66" s="24" t="s">
        <v>151</v>
      </c>
      <c r="C66" s="30" t="s">
        <v>152</v>
      </c>
      <c r="D66" s="31" t="str">
        <f aca="false">IF($C66="","",IF(VALUE(LEFT($C66,FIND("-",$C66)-1))&gt;VALUE(MID($C66,FIND("-",$C66)+1,5)),"H",IF(VALUE(LEFT($C66,FIND("-",$C66)-1))=VALUE(MID($C66,FIND("-",$C66)+1,5)),"D","A")))</f>
        <v>H</v>
      </c>
      <c r="E66" s="31"/>
      <c r="F66" s="31"/>
      <c r="G66" s="31"/>
      <c r="H66" s="31"/>
      <c r="I66" s="32" t="str">
        <f aca="false">IF($E66="","",1/$E66+1/$F66+1/$G66)</f>
        <v/>
      </c>
      <c r="J66" s="33" t="str">
        <f aca="false">IF($E66="","",(1/$E66)/$I66)</f>
        <v/>
      </c>
      <c r="K66" s="33" t="str">
        <f aca="false">IF($E66="","",(1/$F66)/$I66)</f>
        <v/>
      </c>
      <c r="L66" s="33" t="str">
        <f aca="false">IF($E66="","",(1/$G66)/$I66)</f>
        <v/>
      </c>
      <c r="M66" s="34" t="str">
        <f aca="false">IF($E66="","",0.5*(($J66-($D66="H")*1)^2+(($J66+$K66)-(($D66="H")*1+($D66="D")*1))^2))</f>
        <v/>
      </c>
      <c r="N66" s="34" t="str">
        <f aca="false">IF($E66="","",($J66-($D66="H")*1)^2+($K66-($D66="D")*1)^2+($L66-($D66="A")*1)^2)</f>
        <v/>
      </c>
      <c r="O66" s="34" t="str">
        <f aca="false">IF($E66="","",-LN(IF($D66="H",$J66,IF($D66="D",$K66,$L66))))</f>
        <v/>
      </c>
      <c r="P66" s="31" t="str">
        <f aca="false">IF($E66="","",IF(AND($E66&lt;=$F66,$E66&lt;=$G66),"H",IF(AND($F66&lt;=$E66,$F66&lt;=$G66),"D","A")))</f>
        <v/>
      </c>
      <c r="Q66" s="34" t="str">
        <f aca="false">IF($E66="","",0.5*((($P66="H")*1-($D66="H")*1)^2+((($P66="H")*1+($P66="D")*1)-(($D66="H")*1+($D66="D")*1))^2))</f>
        <v/>
      </c>
      <c r="R66" s="35" t="str">
        <f aca="false">IF($E66="","",IF($P66=$D66,IF($P66="H",$E66,IF($P66="D",$F66,$G66))-1,-1))</f>
        <v/>
      </c>
      <c r="S66" s="34" t="str">
        <f aca="false">IF($E66="","",0.5*((1/3-($D66="H")*1)^2+((2/3)-(($D66="H")*1+($D66="D")*1))^2))</f>
        <v/>
      </c>
      <c r="T66" s="31"/>
      <c r="U66" s="33" t="str">
        <f aca="false">IF(OR($T66="",$E66=""),"",$T66/IF($P66="H",$E66,IF($P66="D",$F66,$G66))-1)</f>
        <v/>
      </c>
    </row>
    <row r="67" customFormat="false" ht="15" hidden="false" customHeight="false" outlineLevel="0" collapsed="false">
      <c r="A67" s="29" t="n">
        <v>46196</v>
      </c>
      <c r="B67" s="24" t="s">
        <v>153</v>
      </c>
      <c r="C67" s="30" t="s">
        <v>75</v>
      </c>
      <c r="D67" s="31" t="str">
        <f aca="false">IF($C67="","",IF(VALUE(LEFT($C67,FIND("-",$C67)-1))&gt;VALUE(MID($C67,FIND("-",$C67)+1,5)),"H",IF(VALUE(LEFT($C67,FIND("-",$C67)-1))=VALUE(MID($C67,FIND("-",$C67)+1,5)),"D","A")))</f>
        <v>D</v>
      </c>
      <c r="E67" s="31"/>
      <c r="F67" s="31"/>
      <c r="G67" s="31"/>
      <c r="H67" s="31"/>
      <c r="I67" s="32" t="str">
        <f aca="false">IF($E67="","",1/$E67+1/$F67+1/$G67)</f>
        <v/>
      </c>
      <c r="J67" s="33" t="str">
        <f aca="false">IF($E67="","",(1/$E67)/$I67)</f>
        <v/>
      </c>
      <c r="K67" s="33" t="str">
        <f aca="false">IF($E67="","",(1/$F67)/$I67)</f>
        <v/>
      </c>
      <c r="L67" s="33" t="str">
        <f aca="false">IF($E67="","",(1/$G67)/$I67)</f>
        <v/>
      </c>
      <c r="M67" s="34" t="str">
        <f aca="false">IF($E67="","",0.5*(($J67-($D67="H")*1)^2+(($J67+$K67)-(($D67="H")*1+($D67="D")*1))^2))</f>
        <v/>
      </c>
      <c r="N67" s="34" t="str">
        <f aca="false">IF($E67="","",($J67-($D67="H")*1)^2+($K67-($D67="D")*1)^2+($L67-($D67="A")*1)^2)</f>
        <v/>
      </c>
      <c r="O67" s="34" t="str">
        <f aca="false">IF($E67="","",-LN(IF($D67="H",$J67,IF($D67="D",$K67,$L67))))</f>
        <v/>
      </c>
      <c r="P67" s="31" t="str">
        <f aca="false">IF($E67="","",IF(AND($E67&lt;=$F67,$E67&lt;=$G67),"H",IF(AND($F67&lt;=$E67,$F67&lt;=$G67),"D","A")))</f>
        <v/>
      </c>
      <c r="Q67" s="34" t="str">
        <f aca="false">IF($E67="","",0.5*((($P67="H")*1-($D67="H")*1)^2+((($P67="H")*1+($P67="D")*1)-(($D67="H")*1+($D67="D")*1))^2))</f>
        <v/>
      </c>
      <c r="R67" s="35" t="str">
        <f aca="false">IF($E67="","",IF($P67=$D67,IF($P67="H",$E67,IF($P67="D",$F67,$G67))-1,-1))</f>
        <v/>
      </c>
      <c r="S67" s="34" t="str">
        <f aca="false">IF($E67="","",0.5*((1/3-($D67="H")*1)^2+((2/3)-(($D67="H")*1+($D67="D")*1))^2))</f>
        <v/>
      </c>
      <c r="T67" s="31"/>
      <c r="U67" s="33" t="str">
        <f aca="false">IF(OR($T67="",$E67=""),"",$T67/IF($P67="H",$E67,IF($P67="D",$F67,$G67))-1)</f>
        <v/>
      </c>
    </row>
    <row r="68" customFormat="false" ht="15" hidden="false" customHeight="false" outlineLevel="0" collapsed="false">
      <c r="A68" s="29" t="n">
        <v>46196</v>
      </c>
      <c r="B68" s="24" t="s">
        <v>154</v>
      </c>
      <c r="C68" s="30" t="s">
        <v>50</v>
      </c>
      <c r="D68" s="31" t="str">
        <f aca="false">IF($C68="","",IF(VALUE(LEFT($C68,FIND("-",$C68)-1))&gt;VALUE(MID($C68,FIND("-",$C68)+1,5)),"H",IF(VALUE(LEFT($C68,FIND("-",$C68)-1))=VALUE(MID($C68,FIND("-",$C68)+1,5)),"D","A")))</f>
        <v>A</v>
      </c>
      <c r="E68" s="31"/>
      <c r="F68" s="31"/>
      <c r="G68" s="31"/>
      <c r="H68" s="31"/>
      <c r="I68" s="32" t="str">
        <f aca="false">IF($E68="","",1/$E68+1/$F68+1/$G68)</f>
        <v/>
      </c>
      <c r="J68" s="33" t="str">
        <f aca="false">IF($E68="","",(1/$E68)/$I68)</f>
        <v/>
      </c>
      <c r="K68" s="33" t="str">
        <f aca="false">IF($E68="","",(1/$F68)/$I68)</f>
        <v/>
      </c>
      <c r="L68" s="33" t="str">
        <f aca="false">IF($E68="","",(1/$G68)/$I68)</f>
        <v/>
      </c>
      <c r="M68" s="34" t="str">
        <f aca="false">IF($E68="","",0.5*(($J68-($D68="H")*1)^2+(($J68+$K68)-(($D68="H")*1+($D68="D")*1))^2))</f>
        <v/>
      </c>
      <c r="N68" s="34" t="str">
        <f aca="false">IF($E68="","",($J68-($D68="H")*1)^2+($K68-($D68="D")*1)^2+($L68-($D68="A")*1)^2)</f>
        <v/>
      </c>
      <c r="O68" s="34" t="str">
        <f aca="false">IF($E68="","",-LN(IF($D68="H",$J68,IF($D68="D",$K68,$L68))))</f>
        <v/>
      </c>
      <c r="P68" s="31" t="str">
        <f aca="false">IF($E68="","",IF(AND($E68&lt;=$F68,$E68&lt;=$G68),"H",IF(AND($F68&lt;=$E68,$F68&lt;=$G68),"D","A")))</f>
        <v/>
      </c>
      <c r="Q68" s="34" t="str">
        <f aca="false">IF($E68="","",0.5*((($P68="H")*1-($D68="H")*1)^2+((($P68="H")*1+($P68="D")*1)-(($D68="H")*1+($D68="D")*1))^2))</f>
        <v/>
      </c>
      <c r="R68" s="35" t="str">
        <f aca="false">IF($E68="","",IF($P68=$D68,IF($P68="H",$E68,IF($P68="D",$F68,$G68))-1,-1))</f>
        <v/>
      </c>
      <c r="S68" s="34" t="str">
        <f aca="false">IF($E68="","",0.5*((1/3-($D68="H")*1)^2+((2/3)-(($D68="H")*1+($D68="D")*1))^2))</f>
        <v/>
      </c>
      <c r="T68" s="31"/>
      <c r="U68" s="33" t="str">
        <f aca="false">IF(OR($T68="",$E68=""),"",$T68/IF($P68="H",$E68,IF($P68="D",$F68,$G68))-1)</f>
        <v/>
      </c>
    </row>
    <row r="69" customFormat="false" ht="15" hidden="false" customHeight="false" outlineLevel="0" collapsed="false">
      <c r="A69" s="29" t="n">
        <v>46196</v>
      </c>
      <c r="B69" s="24" t="s">
        <v>156</v>
      </c>
      <c r="C69" s="30" t="s">
        <v>66</v>
      </c>
      <c r="D69" s="31" t="str">
        <f aca="false">IF($C69="","",IF(VALUE(LEFT($C69,FIND("-",$C69)-1))&gt;VALUE(MID($C69,FIND("-",$C69)+1,5)),"H",IF(VALUE(LEFT($C69,FIND("-",$C69)-1))=VALUE(MID($C69,FIND("-",$C69)+1,5)),"D","A")))</f>
        <v>H</v>
      </c>
      <c r="E69" s="31"/>
      <c r="F69" s="31"/>
      <c r="G69" s="31"/>
      <c r="H69" s="31"/>
      <c r="I69" s="32" t="str">
        <f aca="false">IF($E69="","",1/$E69+1/$F69+1/$G69)</f>
        <v/>
      </c>
      <c r="J69" s="33" t="str">
        <f aca="false">IF($E69="","",(1/$E69)/$I69)</f>
        <v/>
      </c>
      <c r="K69" s="33" t="str">
        <f aca="false">IF($E69="","",(1/$F69)/$I69)</f>
        <v/>
      </c>
      <c r="L69" s="33" t="str">
        <f aca="false">IF($E69="","",(1/$G69)/$I69)</f>
        <v/>
      </c>
      <c r="M69" s="34" t="str">
        <f aca="false">IF($E69="","",0.5*(($J69-($D69="H")*1)^2+(($J69+$K69)-(($D69="H")*1+($D69="D")*1))^2))</f>
        <v/>
      </c>
      <c r="N69" s="34" t="str">
        <f aca="false">IF($E69="","",($J69-($D69="H")*1)^2+($K69-($D69="D")*1)^2+($L69-($D69="A")*1)^2)</f>
        <v/>
      </c>
      <c r="O69" s="34" t="str">
        <f aca="false">IF($E69="","",-LN(IF($D69="H",$J69,IF($D69="D",$K69,$L69))))</f>
        <v/>
      </c>
      <c r="P69" s="31" t="str">
        <f aca="false">IF($E69="","",IF(AND($E69&lt;=$F69,$E69&lt;=$G69),"H",IF(AND($F69&lt;=$E69,$F69&lt;=$G69),"D","A")))</f>
        <v/>
      </c>
      <c r="Q69" s="34" t="str">
        <f aca="false">IF($E69="","",0.5*((($P69="H")*1-($D69="H")*1)^2+((($P69="H")*1+($P69="D")*1)-(($D69="H")*1+($D69="D")*1))^2))</f>
        <v/>
      </c>
      <c r="R69" s="35" t="str">
        <f aca="false">IF($E69="","",IF($P69=$D69,IF($P69="H",$E69,IF($P69="D",$F69,$G69))-1,-1))</f>
        <v/>
      </c>
      <c r="S69" s="34" t="str">
        <f aca="false">IF($E69="","",0.5*((1/3-($D69="H")*1)^2+((2/3)-(($D69="H")*1+($D69="D")*1))^2))</f>
        <v/>
      </c>
      <c r="T69" s="31"/>
      <c r="U69" s="33" t="str">
        <f aca="false">IF(OR($T69="",$E69=""),"",$T69/IF($P69="H",$E69,IF($P69="D",$F69,$G69))-1)</f>
        <v/>
      </c>
    </row>
    <row r="70" customFormat="false" ht="15" hidden="false" customHeight="false" outlineLevel="0" collapsed="false">
      <c r="A70" s="29" t="n">
        <v>46197</v>
      </c>
      <c r="B70" s="24" t="s">
        <v>158</v>
      </c>
      <c r="C70" s="30" t="s">
        <v>31</v>
      </c>
      <c r="D70" s="31" t="str">
        <f aca="false">IF($C70="","",IF(VALUE(LEFT($C70,FIND("-",$C70)-1))&gt;VALUE(MID($C70,FIND("-",$C70)+1,5)),"H",IF(VALUE(LEFT($C70,FIND("-",$C70)-1))=VALUE(MID($C70,FIND("-",$C70)+1,5)),"D","A")))</f>
        <v>H</v>
      </c>
      <c r="E70" s="31"/>
      <c r="F70" s="31"/>
      <c r="G70" s="31"/>
      <c r="H70" s="31"/>
      <c r="I70" s="32" t="str">
        <f aca="false">IF($E70="","",1/$E70+1/$F70+1/$G70)</f>
        <v/>
      </c>
      <c r="J70" s="33" t="str">
        <f aca="false">IF($E70="","",(1/$E70)/$I70)</f>
        <v/>
      </c>
      <c r="K70" s="33" t="str">
        <f aca="false">IF($E70="","",(1/$F70)/$I70)</f>
        <v/>
      </c>
      <c r="L70" s="33" t="str">
        <f aca="false">IF($E70="","",(1/$G70)/$I70)</f>
        <v/>
      </c>
      <c r="M70" s="34" t="str">
        <f aca="false">IF($E70="","",0.5*(($J70-($D70="H")*1)^2+(($J70+$K70)-(($D70="H")*1+($D70="D")*1))^2))</f>
        <v/>
      </c>
      <c r="N70" s="34" t="str">
        <f aca="false">IF($E70="","",($J70-($D70="H")*1)^2+($K70-($D70="D")*1)^2+($L70-($D70="A")*1)^2)</f>
        <v/>
      </c>
      <c r="O70" s="34" t="str">
        <f aca="false">IF($E70="","",-LN(IF($D70="H",$J70,IF($D70="D",$K70,$L70))))</f>
        <v/>
      </c>
      <c r="P70" s="31" t="str">
        <f aca="false">IF($E70="","",IF(AND($E70&lt;=$F70,$E70&lt;=$G70),"H",IF(AND($F70&lt;=$E70,$F70&lt;=$G70),"D","A")))</f>
        <v/>
      </c>
      <c r="Q70" s="34" t="str">
        <f aca="false">IF($E70="","",0.5*((($P70="H")*1-($D70="H")*1)^2+((($P70="H")*1+($P70="D")*1)-(($D70="H")*1+($D70="D")*1))^2))</f>
        <v/>
      </c>
      <c r="R70" s="35" t="str">
        <f aca="false">IF($E70="","",IF($P70=$D70,IF($P70="H",$E70,IF($P70="D",$F70,$G70))-1,-1))</f>
        <v/>
      </c>
      <c r="S70" s="34" t="str">
        <f aca="false">IF($E70="","",0.5*((1/3-($D70="H")*1)^2+((2/3)-(($D70="H")*1+($D70="D")*1))^2))</f>
        <v/>
      </c>
      <c r="T70" s="31"/>
      <c r="U70" s="33" t="str">
        <f aca="false">IF(OR($T70="",$E70=""),"",$T70/IF($P70="H",$E70,IF($P70="D",$F70,$G70))-1)</f>
        <v/>
      </c>
    </row>
    <row r="71" customFormat="false" ht="15" hidden="false" customHeight="false" outlineLevel="0" collapsed="false">
      <c r="A71" s="29" t="n">
        <v>46197</v>
      </c>
      <c r="B71" s="24" t="s">
        <v>160</v>
      </c>
      <c r="C71" s="30" t="s">
        <v>113</v>
      </c>
      <c r="D71" s="31" t="str">
        <f aca="false">IF($C71="","",IF(VALUE(LEFT($C71,FIND("-",$C71)-1))&gt;VALUE(MID($C71,FIND("-",$C71)+1,5)),"H",IF(VALUE(LEFT($C71,FIND("-",$C71)-1))=VALUE(MID($C71,FIND("-",$C71)+1,5)),"D","A")))</f>
        <v>A</v>
      </c>
      <c r="E71" s="31"/>
      <c r="F71" s="31"/>
      <c r="G71" s="31"/>
      <c r="H71" s="31"/>
      <c r="I71" s="32" t="str">
        <f aca="false">IF($E71="","",1/$E71+1/$F71+1/$G71)</f>
        <v/>
      </c>
      <c r="J71" s="33" t="str">
        <f aca="false">IF($E71="","",(1/$E71)/$I71)</f>
        <v/>
      </c>
      <c r="K71" s="33" t="str">
        <f aca="false">IF($E71="","",(1/$F71)/$I71)</f>
        <v/>
      </c>
      <c r="L71" s="33" t="str">
        <f aca="false">IF($E71="","",(1/$G71)/$I71)</f>
        <v/>
      </c>
      <c r="M71" s="34" t="str">
        <f aca="false">IF($E71="","",0.5*(($J71-($D71="H")*1)^2+(($J71+$K71)-(($D71="H")*1+($D71="D")*1))^2))</f>
        <v/>
      </c>
      <c r="N71" s="34" t="str">
        <f aca="false">IF($E71="","",($J71-($D71="H")*1)^2+($K71-($D71="D")*1)^2+($L71-($D71="A")*1)^2)</f>
        <v/>
      </c>
      <c r="O71" s="34" t="str">
        <f aca="false">IF($E71="","",-LN(IF($D71="H",$J71,IF($D71="D",$K71,$L71))))</f>
        <v/>
      </c>
      <c r="P71" s="31" t="str">
        <f aca="false">IF($E71="","",IF(AND($E71&lt;=$F71,$E71&lt;=$G71),"H",IF(AND($F71&lt;=$E71,$F71&lt;=$G71),"D","A")))</f>
        <v/>
      </c>
      <c r="Q71" s="34" t="str">
        <f aca="false">IF($E71="","",0.5*((($P71="H")*1-($D71="H")*1)^2+((($P71="H")*1+($P71="D")*1)-(($D71="H")*1+($D71="D")*1))^2))</f>
        <v/>
      </c>
      <c r="R71" s="35" t="str">
        <f aca="false">IF($E71="","",IF($P71=$D71,IF($P71="H",$E71,IF($P71="D",$F71,$G71))-1,-1))</f>
        <v/>
      </c>
      <c r="S71" s="34" t="str">
        <f aca="false">IF($E71="","",0.5*((1/3-($D71="H")*1)^2+((2/3)-(($D71="H")*1+($D71="D")*1))^2))</f>
        <v/>
      </c>
      <c r="T71" s="31"/>
      <c r="U71" s="33" t="str">
        <f aca="false">IF(OR($T71="",$E71=""),"",$T71/IF($P71="H",$E71,IF($P71="D",$F71,$G71))-1)</f>
        <v/>
      </c>
    </row>
    <row r="72" customFormat="false" ht="15" hidden="false" customHeight="false" outlineLevel="0" collapsed="false">
      <c r="A72" s="29" t="n">
        <v>46197</v>
      </c>
      <c r="B72" s="24" t="s">
        <v>164</v>
      </c>
      <c r="C72" s="30" t="s">
        <v>165</v>
      </c>
      <c r="D72" s="31" t="str">
        <f aca="false">IF($C72="","",IF(VALUE(LEFT($C72,FIND("-",$C72)-1))&gt;VALUE(MID($C72,FIND("-",$C72)+1,5)),"H",IF(VALUE(LEFT($C72,FIND("-",$C72)-1))=VALUE(MID($C72,FIND("-",$C72)+1,5)),"D","A")))</f>
        <v>A</v>
      </c>
      <c r="E72" s="31"/>
      <c r="F72" s="31"/>
      <c r="G72" s="31"/>
      <c r="H72" s="31"/>
      <c r="I72" s="32" t="str">
        <f aca="false">IF($E72="","",1/$E72+1/$F72+1/$G72)</f>
        <v/>
      </c>
      <c r="J72" s="33" t="str">
        <f aca="false">IF($E72="","",(1/$E72)/$I72)</f>
        <v/>
      </c>
      <c r="K72" s="33" t="str">
        <f aca="false">IF($E72="","",(1/$F72)/$I72)</f>
        <v/>
      </c>
      <c r="L72" s="33" t="str">
        <f aca="false">IF($E72="","",(1/$G72)/$I72)</f>
        <v/>
      </c>
      <c r="M72" s="34" t="str">
        <f aca="false">IF($E72="","",0.5*(($J72-($D72="H")*1)^2+(($J72+$K72)-(($D72="H")*1+($D72="D")*1))^2))</f>
        <v/>
      </c>
      <c r="N72" s="34" t="str">
        <f aca="false">IF($E72="","",($J72-($D72="H")*1)^2+($K72-($D72="D")*1)^2+($L72-($D72="A")*1)^2)</f>
        <v/>
      </c>
      <c r="O72" s="34" t="str">
        <f aca="false">IF($E72="","",-LN(IF($D72="H",$J72,IF($D72="D",$K72,$L72))))</f>
        <v/>
      </c>
      <c r="P72" s="31" t="str">
        <f aca="false">IF($E72="","",IF(AND($E72&lt;=$F72,$E72&lt;=$G72),"H",IF(AND($F72&lt;=$E72,$F72&lt;=$G72),"D","A")))</f>
        <v/>
      </c>
      <c r="Q72" s="34" t="str">
        <f aca="false">IF($E72="","",0.5*((($P72="H")*1-($D72="H")*1)^2+((($P72="H")*1+($P72="D")*1)-(($D72="H")*1+($D72="D")*1))^2))</f>
        <v/>
      </c>
      <c r="R72" s="35" t="str">
        <f aca="false">IF($E72="","",IF($P72=$D72,IF($P72="H",$E72,IF($P72="D",$F72,$G72))-1,-1))</f>
        <v/>
      </c>
      <c r="S72" s="34" t="str">
        <f aca="false">IF($E72="","",0.5*((1/3-($D72="H")*1)^2+((2/3)-(($D72="H")*1+($D72="D")*1))^2))</f>
        <v/>
      </c>
      <c r="T72" s="31"/>
      <c r="U72" s="33" t="str">
        <f aca="false">IF(OR($T72="",$E72=""),"",$T72/IF($P72="H",$E72,IF($P72="D",$F72,$G72))-1)</f>
        <v/>
      </c>
    </row>
    <row r="73" customFormat="false" ht="15" hidden="false" customHeight="false" outlineLevel="0" collapsed="false">
      <c r="A73" s="29" t="n">
        <v>46197</v>
      </c>
      <c r="B73" s="24" t="s">
        <v>166</v>
      </c>
      <c r="C73" s="30" t="s">
        <v>106</v>
      </c>
      <c r="D73" s="31" t="str">
        <f aca="false">IF($C73="","",IF(VALUE(LEFT($C73,FIND("-",$C73)-1))&gt;VALUE(MID($C73,FIND("-",$C73)+1,5)),"H",IF(VALUE(LEFT($C73,FIND("-",$C73)-1))=VALUE(MID($C73,FIND("-",$C73)+1,5)),"D","A")))</f>
        <v>H</v>
      </c>
      <c r="E73" s="31"/>
      <c r="F73" s="31"/>
      <c r="G73" s="31"/>
      <c r="H73" s="31"/>
      <c r="I73" s="32" t="str">
        <f aca="false">IF($E73="","",1/$E73+1/$F73+1/$G73)</f>
        <v/>
      </c>
      <c r="J73" s="33" t="str">
        <f aca="false">IF($E73="","",(1/$E73)/$I73)</f>
        <v/>
      </c>
      <c r="K73" s="33" t="str">
        <f aca="false">IF($E73="","",(1/$F73)/$I73)</f>
        <v/>
      </c>
      <c r="L73" s="33" t="str">
        <f aca="false">IF($E73="","",(1/$G73)/$I73)</f>
        <v/>
      </c>
      <c r="M73" s="34" t="str">
        <f aca="false">IF($E73="","",0.5*(($J73-($D73="H")*1)^2+(($J73+$K73)-(($D73="H")*1+($D73="D")*1))^2))</f>
        <v/>
      </c>
      <c r="N73" s="34" t="str">
        <f aca="false">IF($E73="","",($J73-($D73="H")*1)^2+($K73-($D73="D")*1)^2+($L73-($D73="A")*1)^2)</f>
        <v/>
      </c>
      <c r="O73" s="34" t="str">
        <f aca="false">IF($E73="","",-LN(IF($D73="H",$J73,IF($D73="D",$K73,$L73))))</f>
        <v/>
      </c>
      <c r="P73" s="31" t="str">
        <f aca="false">IF($E73="","",IF(AND($E73&lt;=$F73,$E73&lt;=$G73),"H",IF(AND($F73&lt;=$E73,$F73&lt;=$G73),"D","A")))</f>
        <v/>
      </c>
      <c r="Q73" s="34" t="str">
        <f aca="false">IF($E73="","",0.5*((($P73="H")*1-($D73="H")*1)^2+((($P73="H")*1+($P73="D")*1)-(($D73="H")*1+($D73="D")*1))^2))</f>
        <v/>
      </c>
      <c r="R73" s="35" t="str">
        <f aca="false">IF($E73="","",IF($P73=$D73,IF($P73="H",$E73,IF($P73="D",$F73,$G73))-1,-1))</f>
        <v/>
      </c>
      <c r="S73" s="34" t="str">
        <f aca="false">IF($E73="","",0.5*((1/3-($D73="H")*1)^2+((2/3)-(($D73="H")*1+($D73="D")*1))^2))</f>
        <v/>
      </c>
      <c r="T73" s="31"/>
      <c r="U73" s="33" t="str">
        <f aca="false">IF(OR($T73="",$E73=""),"",$T73/IF($P73="H",$E73,IF($P73="D",$F73,$G73))-1)</f>
        <v/>
      </c>
    </row>
    <row r="74" customFormat="false" ht="15" hidden="false" customHeight="false" outlineLevel="0" collapsed="false">
      <c r="A74" s="29" t="n">
        <v>46197</v>
      </c>
      <c r="B74" s="24" t="s">
        <v>167</v>
      </c>
      <c r="C74" s="30" t="s">
        <v>165</v>
      </c>
      <c r="D74" s="31" t="str">
        <f aca="false">IF($C74="","",IF(VALUE(LEFT($C74,FIND("-",$C74)-1))&gt;VALUE(MID($C74,FIND("-",$C74)+1,5)),"H",IF(VALUE(LEFT($C74,FIND("-",$C74)-1))=VALUE(MID($C74,FIND("-",$C74)+1,5)),"D","A")))</f>
        <v>A</v>
      </c>
      <c r="E74" s="31"/>
      <c r="F74" s="31"/>
      <c r="G74" s="31"/>
      <c r="H74" s="31"/>
      <c r="I74" s="32" t="str">
        <f aca="false">IF($E74="","",1/$E74+1/$F74+1/$G74)</f>
        <v/>
      </c>
      <c r="J74" s="33" t="str">
        <f aca="false">IF($E74="","",(1/$E74)/$I74)</f>
        <v/>
      </c>
      <c r="K74" s="33" t="str">
        <f aca="false">IF($E74="","",(1/$F74)/$I74)</f>
        <v/>
      </c>
      <c r="L74" s="33" t="str">
        <f aca="false">IF($E74="","",(1/$G74)/$I74)</f>
        <v/>
      </c>
      <c r="M74" s="34" t="str">
        <f aca="false">IF($E74="","",0.5*(($J74-($D74="H")*1)^2+(($J74+$K74)-(($D74="H")*1+($D74="D")*1))^2))</f>
        <v/>
      </c>
      <c r="N74" s="34" t="str">
        <f aca="false">IF($E74="","",($J74-($D74="H")*1)^2+($K74-($D74="D")*1)^2+($L74-($D74="A")*1)^2)</f>
        <v/>
      </c>
      <c r="O74" s="34" t="str">
        <f aca="false">IF($E74="","",-LN(IF($D74="H",$J74,IF($D74="D",$K74,$L74))))</f>
        <v/>
      </c>
      <c r="P74" s="31" t="str">
        <f aca="false">IF($E74="","",IF(AND($E74&lt;=$F74,$E74&lt;=$G74),"H",IF(AND($F74&lt;=$E74,$F74&lt;=$G74),"D","A")))</f>
        <v/>
      </c>
      <c r="Q74" s="34" t="str">
        <f aca="false">IF($E74="","",0.5*((($P74="H")*1-($D74="H")*1)^2+((($P74="H")*1+($P74="D")*1)-(($D74="H")*1+($D74="D")*1))^2))</f>
        <v/>
      </c>
      <c r="R74" s="35" t="str">
        <f aca="false">IF($E74="","",IF($P74=$D74,IF($P74="H",$E74,IF($P74="D",$F74,$G74))-1,-1))</f>
        <v/>
      </c>
      <c r="S74" s="34" t="str">
        <f aca="false">IF($E74="","",0.5*((1/3-($D74="H")*1)^2+((2/3)-(($D74="H")*1+($D74="D")*1))^2))</f>
        <v/>
      </c>
      <c r="T74" s="31"/>
      <c r="U74" s="33" t="str">
        <f aca="false">IF(OR($T74="",$E74=""),"",$T74/IF($P74="H",$E74,IF($P74="D",$F74,$G74))-1)</f>
        <v/>
      </c>
    </row>
    <row r="75" customFormat="false" ht="15" hidden="false" customHeight="false" outlineLevel="0" collapsed="false">
      <c r="A75" s="29" t="n">
        <v>46197</v>
      </c>
      <c r="B75" s="24" t="s">
        <v>168</v>
      </c>
      <c r="C75" s="30" t="s">
        <v>66</v>
      </c>
      <c r="D75" s="31" t="str">
        <f aca="false">IF($C75="","",IF(VALUE(LEFT($C75,FIND("-",$C75)-1))&gt;VALUE(MID($C75,FIND("-",$C75)+1,5)),"H",IF(VALUE(LEFT($C75,FIND("-",$C75)-1))=VALUE(MID($C75,FIND("-",$C75)+1,5)),"D","A")))</f>
        <v>H</v>
      </c>
      <c r="E75" s="31"/>
      <c r="F75" s="31"/>
      <c r="G75" s="31"/>
      <c r="H75" s="31"/>
      <c r="I75" s="32" t="str">
        <f aca="false">IF($E75="","",1/$E75+1/$F75+1/$G75)</f>
        <v/>
      </c>
      <c r="J75" s="33" t="str">
        <f aca="false">IF($E75="","",(1/$E75)/$I75)</f>
        <v/>
      </c>
      <c r="K75" s="33" t="str">
        <f aca="false">IF($E75="","",(1/$F75)/$I75)</f>
        <v/>
      </c>
      <c r="L75" s="33" t="str">
        <f aca="false">IF($E75="","",(1/$G75)/$I75)</f>
        <v/>
      </c>
      <c r="M75" s="34" t="str">
        <f aca="false">IF($E75="","",0.5*(($J75-($D75="H")*1)^2+(($J75+$K75)-(($D75="H")*1+($D75="D")*1))^2))</f>
        <v/>
      </c>
      <c r="N75" s="34" t="str">
        <f aca="false">IF($E75="","",($J75-($D75="H")*1)^2+($K75-($D75="D")*1)^2+($L75-($D75="A")*1)^2)</f>
        <v/>
      </c>
      <c r="O75" s="34" t="str">
        <f aca="false">IF($E75="","",-LN(IF($D75="H",$J75,IF($D75="D",$K75,$L75))))</f>
        <v/>
      </c>
      <c r="P75" s="31" t="str">
        <f aca="false">IF($E75="","",IF(AND($E75&lt;=$F75,$E75&lt;=$G75),"H",IF(AND($F75&lt;=$E75,$F75&lt;=$G75),"D","A")))</f>
        <v/>
      </c>
      <c r="Q75" s="34" t="str">
        <f aca="false">IF($E75="","",0.5*((($P75="H")*1-($D75="H")*1)^2+((($P75="H")*1+($P75="D")*1)-(($D75="H")*1+($D75="D")*1))^2))</f>
        <v/>
      </c>
      <c r="R75" s="35" t="str">
        <f aca="false">IF($E75="","",IF($P75=$D75,IF($P75="H",$E75,IF($P75="D",$F75,$G75))-1,-1))</f>
        <v/>
      </c>
      <c r="S75" s="34" t="str">
        <f aca="false">IF($E75="","",0.5*((1/3-($D75="H")*1)^2+((2/3)-(($D75="H")*1+($D75="D")*1))^2))</f>
        <v/>
      </c>
      <c r="T75" s="31"/>
      <c r="U75" s="33" t="str">
        <f aca="false">IF(OR($T75="",$E75=""),"",$T75/IF($P75="H",$E75,IF($P75="D",$F75,$G75))-1)</f>
        <v/>
      </c>
    </row>
    <row r="76" customFormat="false" ht="15" hidden="false" customHeight="false" outlineLevel="0" collapsed="false">
      <c r="A76" s="29" t="n">
        <v>46198</v>
      </c>
      <c r="B76" s="24" t="s">
        <v>171</v>
      </c>
      <c r="C76" s="30" t="s">
        <v>172</v>
      </c>
      <c r="D76" s="31" t="str">
        <f aca="false">IF($C76="","",IF(VALUE(LEFT($C76,FIND("-",$C76)-1))&gt;VALUE(MID($C76,FIND("-",$C76)+1,5)),"H",IF(VALUE(LEFT($C76,FIND("-",$C76)-1))=VALUE(MID($C76,FIND("-",$C76)+1,5)),"D","A")))</f>
        <v>A</v>
      </c>
      <c r="E76" s="31"/>
      <c r="F76" s="31"/>
      <c r="G76" s="31"/>
      <c r="H76" s="31"/>
      <c r="I76" s="32" t="str">
        <f aca="false">IF($E76="","",1/$E76+1/$F76+1/$G76)</f>
        <v/>
      </c>
      <c r="J76" s="33" t="str">
        <f aca="false">IF($E76="","",(1/$E76)/$I76)</f>
        <v/>
      </c>
      <c r="K76" s="33" t="str">
        <f aca="false">IF($E76="","",(1/$F76)/$I76)</f>
        <v/>
      </c>
      <c r="L76" s="33" t="str">
        <f aca="false">IF($E76="","",(1/$G76)/$I76)</f>
        <v/>
      </c>
      <c r="M76" s="34" t="str">
        <f aca="false">IF($E76="","",0.5*(($J76-($D76="H")*1)^2+(($J76+$K76)-(($D76="H")*1+($D76="D")*1))^2))</f>
        <v/>
      </c>
      <c r="N76" s="34" t="str">
        <f aca="false">IF($E76="","",($J76-($D76="H")*1)^2+($K76-($D76="D")*1)^2+($L76-($D76="A")*1)^2)</f>
        <v/>
      </c>
      <c r="O76" s="34" t="str">
        <f aca="false">IF($E76="","",-LN(IF($D76="H",$J76,IF($D76="D",$K76,$L76))))</f>
        <v/>
      </c>
      <c r="P76" s="31" t="str">
        <f aca="false">IF($E76="","",IF(AND($E76&lt;=$F76,$E76&lt;=$G76),"H",IF(AND($F76&lt;=$E76,$F76&lt;=$G76),"D","A")))</f>
        <v/>
      </c>
      <c r="Q76" s="34" t="str">
        <f aca="false">IF($E76="","",0.5*((($P76="H")*1-($D76="H")*1)^2+((($P76="H")*1+($P76="D")*1)-(($D76="H")*1+($D76="D")*1))^2))</f>
        <v/>
      </c>
      <c r="R76" s="35" t="str">
        <f aca="false">IF($E76="","",IF($P76=$D76,IF($P76="H",$E76,IF($P76="D",$F76,$G76))-1,-1))</f>
        <v/>
      </c>
      <c r="S76" s="34" t="str">
        <f aca="false">IF($E76="","",0.5*((1/3-($D76="H")*1)^2+((2/3)-(($D76="H")*1+($D76="D")*1))^2))</f>
        <v/>
      </c>
      <c r="T76" s="31"/>
      <c r="U76" s="33" t="str">
        <f aca="false">IF(OR($T76="",$E76=""),"",$T76/IF($P76="H",$E76,IF($P76="D",$F76,$G76))-1)</f>
        <v/>
      </c>
    </row>
    <row r="77" customFormat="false" ht="15" hidden="false" customHeight="false" outlineLevel="0" collapsed="false">
      <c r="A77" s="29" t="n">
        <v>46198</v>
      </c>
      <c r="B77" s="24" t="s">
        <v>173</v>
      </c>
      <c r="C77" s="30" t="s">
        <v>31</v>
      </c>
      <c r="D77" s="31" t="str">
        <f aca="false">IF($C77="","",IF(VALUE(LEFT($C77,FIND("-",$C77)-1))&gt;VALUE(MID($C77,FIND("-",$C77)+1,5)),"H",IF(VALUE(LEFT($C77,FIND("-",$C77)-1))=VALUE(MID($C77,FIND("-",$C77)+1,5)),"D","A")))</f>
        <v>H</v>
      </c>
      <c r="E77" s="31"/>
      <c r="F77" s="31"/>
      <c r="G77" s="31"/>
      <c r="H77" s="31"/>
      <c r="I77" s="32" t="str">
        <f aca="false">IF($E77="","",1/$E77+1/$F77+1/$G77)</f>
        <v/>
      </c>
      <c r="J77" s="33" t="str">
        <f aca="false">IF($E77="","",(1/$E77)/$I77)</f>
        <v/>
      </c>
      <c r="K77" s="33" t="str">
        <f aca="false">IF($E77="","",(1/$F77)/$I77)</f>
        <v/>
      </c>
      <c r="L77" s="33" t="str">
        <f aca="false">IF($E77="","",(1/$G77)/$I77)</f>
        <v/>
      </c>
      <c r="M77" s="34" t="str">
        <f aca="false">IF($E77="","",0.5*(($J77-($D77="H")*1)^2+(($J77+$K77)-(($D77="H")*1+($D77="D")*1))^2))</f>
        <v/>
      </c>
      <c r="N77" s="34" t="str">
        <f aca="false">IF($E77="","",($J77-($D77="H")*1)^2+($K77-($D77="D")*1)^2+($L77-($D77="A")*1)^2)</f>
        <v/>
      </c>
      <c r="O77" s="34" t="str">
        <f aca="false">IF($E77="","",-LN(IF($D77="H",$J77,IF($D77="D",$K77,$L77))))</f>
        <v/>
      </c>
      <c r="P77" s="31" t="str">
        <f aca="false">IF($E77="","",IF(AND($E77&lt;=$F77,$E77&lt;=$G77),"H",IF(AND($F77&lt;=$E77,$F77&lt;=$G77),"D","A")))</f>
        <v/>
      </c>
      <c r="Q77" s="34" t="str">
        <f aca="false">IF($E77="","",0.5*((($P77="H")*1-($D77="H")*1)^2+((($P77="H")*1+($P77="D")*1)-(($D77="H")*1+($D77="D")*1))^2))</f>
        <v/>
      </c>
      <c r="R77" s="35" t="str">
        <f aca="false">IF($E77="","",IF($P77=$D77,IF($P77="H",$E77,IF($P77="D",$F77,$G77))-1,-1))</f>
        <v/>
      </c>
      <c r="S77" s="34" t="str">
        <f aca="false">IF($E77="","",0.5*((1/3-($D77="H")*1)^2+((2/3)-(($D77="H")*1+($D77="D")*1))^2))</f>
        <v/>
      </c>
      <c r="T77" s="31"/>
      <c r="U77" s="33" t="str">
        <f aca="false">IF(OR($T77="",$E77=""),"",$T77/IF($P77="H",$E77,IF($P77="D",$F77,$G77))-1)</f>
        <v/>
      </c>
    </row>
    <row r="78" customFormat="false" ht="15" hidden="false" customHeight="false" outlineLevel="0" collapsed="false">
      <c r="A78" s="29" t="n">
        <v>46198</v>
      </c>
      <c r="B78" s="24" t="s">
        <v>174</v>
      </c>
      <c r="C78" s="30" t="s">
        <v>35</v>
      </c>
      <c r="D78" s="31" t="str">
        <f aca="false">IF($C78="","",IF(VALUE(LEFT($C78,FIND("-",$C78)-1))&gt;VALUE(MID($C78,FIND("-",$C78)+1,5)),"H",IF(VALUE(LEFT($C78,FIND("-",$C78)-1))=VALUE(MID($C78,FIND("-",$C78)+1,5)),"D","A")))</f>
        <v>D</v>
      </c>
      <c r="E78" s="31"/>
      <c r="F78" s="31"/>
      <c r="G78" s="31"/>
      <c r="H78" s="31"/>
      <c r="I78" s="32" t="str">
        <f aca="false">IF($E78="","",1/$E78+1/$F78+1/$G78)</f>
        <v/>
      </c>
      <c r="J78" s="33" t="str">
        <f aca="false">IF($E78="","",(1/$E78)/$I78)</f>
        <v/>
      </c>
      <c r="K78" s="33" t="str">
        <f aca="false">IF($E78="","",(1/$F78)/$I78)</f>
        <v/>
      </c>
      <c r="L78" s="33" t="str">
        <f aca="false">IF($E78="","",(1/$G78)/$I78)</f>
        <v/>
      </c>
      <c r="M78" s="34" t="str">
        <f aca="false">IF($E78="","",0.5*(($J78-($D78="H")*1)^2+(($J78+$K78)-(($D78="H")*1+($D78="D")*1))^2))</f>
        <v/>
      </c>
      <c r="N78" s="34" t="str">
        <f aca="false">IF($E78="","",($J78-($D78="H")*1)^2+($K78-($D78="D")*1)^2+($L78-($D78="A")*1)^2)</f>
        <v/>
      </c>
      <c r="O78" s="34" t="str">
        <f aca="false">IF($E78="","",-LN(IF($D78="H",$J78,IF($D78="D",$K78,$L78))))</f>
        <v/>
      </c>
      <c r="P78" s="31" t="str">
        <f aca="false">IF($E78="","",IF(AND($E78&lt;=$F78,$E78&lt;=$G78),"H",IF(AND($F78&lt;=$E78,$F78&lt;=$G78),"D","A")))</f>
        <v/>
      </c>
      <c r="Q78" s="34" t="str">
        <f aca="false">IF($E78="","",0.5*((($P78="H")*1-($D78="H")*1)^2+((($P78="H")*1+($P78="D")*1)-(($D78="H")*1+($D78="D")*1))^2))</f>
        <v/>
      </c>
      <c r="R78" s="35" t="str">
        <f aca="false">IF($E78="","",IF($P78=$D78,IF($P78="H",$E78,IF($P78="D",$F78,$G78))-1,-1))</f>
        <v/>
      </c>
      <c r="S78" s="34" t="str">
        <f aca="false">IF($E78="","",0.5*((1/3-($D78="H")*1)^2+((2/3)-(($D78="H")*1+($D78="D")*1))^2))</f>
        <v/>
      </c>
      <c r="T78" s="31"/>
      <c r="U78" s="33" t="str">
        <f aca="false">IF(OR($T78="",$E78=""),"",$T78/IF($P78="H",$E78,IF($P78="D",$F78,$G78))-1)</f>
        <v/>
      </c>
    </row>
    <row r="79" customFormat="false" ht="15" hidden="false" customHeight="false" outlineLevel="0" collapsed="false">
      <c r="A79" s="29" t="n">
        <v>46198</v>
      </c>
      <c r="B79" s="24" t="s">
        <v>176</v>
      </c>
      <c r="C79" s="30" t="s">
        <v>113</v>
      </c>
      <c r="D79" s="31" t="str">
        <f aca="false">IF($C79="","",IF(VALUE(LEFT($C79,FIND("-",$C79)-1))&gt;VALUE(MID($C79,FIND("-",$C79)+1,5)),"H",IF(VALUE(LEFT($C79,FIND("-",$C79)-1))=VALUE(MID($C79,FIND("-",$C79)+1,5)),"D","A")))</f>
        <v>A</v>
      </c>
      <c r="E79" s="31"/>
      <c r="F79" s="31"/>
      <c r="G79" s="31"/>
      <c r="H79" s="31"/>
      <c r="I79" s="32" t="str">
        <f aca="false">IF($E79="","",1/$E79+1/$F79+1/$G79)</f>
        <v/>
      </c>
      <c r="J79" s="33" t="str">
        <f aca="false">IF($E79="","",(1/$E79)/$I79)</f>
        <v/>
      </c>
      <c r="K79" s="33" t="str">
        <f aca="false">IF($E79="","",(1/$F79)/$I79)</f>
        <v/>
      </c>
      <c r="L79" s="33" t="str">
        <f aca="false">IF($E79="","",(1/$G79)/$I79)</f>
        <v/>
      </c>
      <c r="M79" s="34" t="str">
        <f aca="false">IF($E79="","",0.5*(($J79-($D79="H")*1)^2+(($J79+$K79)-(($D79="H")*1+($D79="D")*1))^2))</f>
        <v/>
      </c>
      <c r="N79" s="34" t="str">
        <f aca="false">IF($E79="","",($J79-($D79="H")*1)^2+($K79-($D79="D")*1)^2+($L79-($D79="A")*1)^2)</f>
        <v/>
      </c>
      <c r="O79" s="34" t="str">
        <f aca="false">IF($E79="","",-LN(IF($D79="H",$J79,IF($D79="D",$K79,$L79))))</f>
        <v/>
      </c>
      <c r="P79" s="31" t="str">
        <f aca="false">IF($E79="","",IF(AND($E79&lt;=$F79,$E79&lt;=$G79),"H",IF(AND($F79&lt;=$E79,$F79&lt;=$G79),"D","A")))</f>
        <v/>
      </c>
      <c r="Q79" s="34" t="str">
        <f aca="false">IF($E79="","",0.5*((($P79="H")*1-($D79="H")*1)^2+((($P79="H")*1+($P79="D")*1)-(($D79="H")*1+($D79="D")*1))^2))</f>
        <v/>
      </c>
      <c r="R79" s="35" t="str">
        <f aca="false">IF($E79="","",IF($P79=$D79,IF($P79="H",$E79,IF($P79="D",$F79,$G79))-1,-1))</f>
        <v/>
      </c>
      <c r="S79" s="34" t="str">
        <f aca="false">IF($E79="","",0.5*((1/3-($D79="H")*1)^2+((2/3)-(($D79="H")*1+($D79="D")*1))^2))</f>
        <v/>
      </c>
      <c r="T79" s="31"/>
      <c r="U79" s="33" t="str">
        <f aca="false">IF(OR($T79="",$E79=""),"",$T79/IF($P79="H",$E79,IF($P79="D",$F79,$G79))-1)</f>
        <v/>
      </c>
    </row>
    <row r="80" customFormat="false" ht="15" hidden="false" customHeight="false" outlineLevel="0" collapsed="false">
      <c r="A80" s="29" t="n">
        <v>46198</v>
      </c>
      <c r="B80" s="24" t="s">
        <v>177</v>
      </c>
      <c r="C80" s="30" t="s">
        <v>147</v>
      </c>
      <c r="D80" s="31" t="str">
        <f aca="false">IF($C80="","",IF(VALUE(LEFT($C80,FIND("-",$C80)-1))&gt;VALUE(MID($C80,FIND("-",$C80)+1,5)),"H",IF(VALUE(LEFT($C80,FIND("-",$C80)-1))=VALUE(MID($C80,FIND("-",$C80)+1,5)),"D","A")))</f>
        <v>H</v>
      </c>
      <c r="E80" s="31"/>
      <c r="F80" s="31"/>
      <c r="G80" s="31"/>
      <c r="H80" s="31"/>
      <c r="I80" s="32" t="str">
        <f aca="false">IF($E80="","",1/$E80+1/$F80+1/$G80)</f>
        <v/>
      </c>
      <c r="J80" s="33" t="str">
        <f aca="false">IF($E80="","",(1/$E80)/$I80)</f>
        <v/>
      </c>
      <c r="K80" s="33" t="str">
        <f aca="false">IF($E80="","",(1/$F80)/$I80)</f>
        <v/>
      </c>
      <c r="L80" s="33" t="str">
        <f aca="false">IF($E80="","",(1/$G80)/$I80)</f>
        <v/>
      </c>
      <c r="M80" s="34" t="str">
        <f aca="false">IF($E80="","",0.5*(($J80-($D80="H")*1)^2+(($J80+$K80)-(($D80="H")*1+($D80="D")*1))^2))</f>
        <v/>
      </c>
      <c r="N80" s="34" t="str">
        <f aca="false">IF($E80="","",($J80-($D80="H")*1)^2+($K80-($D80="D")*1)^2+($L80-($D80="A")*1)^2)</f>
        <v/>
      </c>
      <c r="O80" s="34" t="str">
        <f aca="false">IF($E80="","",-LN(IF($D80="H",$J80,IF($D80="D",$K80,$L80))))</f>
        <v/>
      </c>
      <c r="P80" s="31" t="str">
        <f aca="false">IF($E80="","",IF(AND($E80&lt;=$F80,$E80&lt;=$G80),"H",IF(AND($F80&lt;=$E80,$F80&lt;=$G80),"D","A")))</f>
        <v/>
      </c>
      <c r="Q80" s="34" t="str">
        <f aca="false">IF($E80="","",0.5*((($P80="H")*1-($D80="H")*1)^2+((($P80="H")*1+($P80="D")*1)-(($D80="H")*1+($D80="D")*1))^2))</f>
        <v/>
      </c>
      <c r="R80" s="35" t="str">
        <f aca="false">IF($E80="","",IF($P80=$D80,IF($P80="H",$E80,IF($P80="D",$F80,$G80))-1,-1))</f>
        <v/>
      </c>
      <c r="S80" s="34" t="str">
        <f aca="false">IF($E80="","",0.5*((1/3-($D80="H")*1)^2+((2/3)-(($D80="H")*1+($D80="D")*1))^2))</f>
        <v/>
      </c>
      <c r="T80" s="31"/>
      <c r="U80" s="33" t="str">
        <f aca="false">IF(OR($T80="",$E80=""),"",$T80/IF($P80="H",$E80,IF($P80="D",$F80,$G80))-1)</f>
        <v/>
      </c>
    </row>
    <row r="81" customFormat="false" ht="15" hidden="false" customHeight="false" outlineLevel="0" collapsed="false">
      <c r="A81" s="29" t="n">
        <v>46198</v>
      </c>
      <c r="B81" s="24" t="s">
        <v>179</v>
      </c>
      <c r="C81" s="30" t="s">
        <v>75</v>
      </c>
      <c r="D81" s="31" t="str">
        <f aca="false">IF($C81="","",IF(VALUE(LEFT($C81,FIND("-",$C81)-1))&gt;VALUE(MID($C81,FIND("-",$C81)+1,5)),"H",IF(VALUE(LEFT($C81,FIND("-",$C81)-1))=VALUE(MID($C81,FIND("-",$C81)+1,5)),"D","A")))</f>
        <v>D</v>
      </c>
      <c r="E81" s="31"/>
      <c r="F81" s="31"/>
      <c r="G81" s="31"/>
      <c r="H81" s="31"/>
      <c r="I81" s="32" t="str">
        <f aca="false">IF($E81="","",1/$E81+1/$F81+1/$G81)</f>
        <v/>
      </c>
      <c r="J81" s="33" t="str">
        <f aca="false">IF($E81="","",(1/$E81)/$I81)</f>
        <v/>
      </c>
      <c r="K81" s="33" t="str">
        <f aca="false">IF($E81="","",(1/$F81)/$I81)</f>
        <v/>
      </c>
      <c r="L81" s="33" t="str">
        <f aca="false">IF($E81="","",(1/$G81)/$I81)</f>
        <v/>
      </c>
      <c r="M81" s="34" t="str">
        <f aca="false">IF($E81="","",0.5*(($J81-($D81="H")*1)^2+(($J81+$K81)-(($D81="H")*1+($D81="D")*1))^2))</f>
        <v/>
      </c>
      <c r="N81" s="34" t="str">
        <f aca="false">IF($E81="","",($J81-($D81="H")*1)^2+($K81-($D81="D")*1)^2+($L81-($D81="A")*1)^2)</f>
        <v/>
      </c>
      <c r="O81" s="34" t="str">
        <f aca="false">IF($E81="","",-LN(IF($D81="H",$J81,IF($D81="D",$K81,$L81))))</f>
        <v/>
      </c>
      <c r="P81" s="31" t="str">
        <f aca="false">IF($E81="","",IF(AND($E81&lt;=$F81,$E81&lt;=$G81),"H",IF(AND($F81&lt;=$E81,$F81&lt;=$G81),"D","A")))</f>
        <v/>
      </c>
      <c r="Q81" s="34" t="str">
        <f aca="false">IF($E81="","",0.5*((($P81="H")*1-($D81="H")*1)^2+((($P81="H")*1+($P81="D")*1)-(($D81="H")*1+($D81="D")*1))^2))</f>
        <v/>
      </c>
      <c r="R81" s="35" t="str">
        <f aca="false">IF($E81="","",IF($P81=$D81,IF($P81="H",$E81,IF($P81="D",$F81,$G81))-1,-1))</f>
        <v/>
      </c>
      <c r="S81" s="34" t="str">
        <f aca="false">IF($E81="","",0.5*((1/3-($D81="H")*1)^2+((2/3)-(($D81="H")*1+($D81="D")*1))^2))</f>
        <v/>
      </c>
      <c r="T81" s="31"/>
      <c r="U81" s="33" t="str">
        <f aca="false">IF(OR($T81="",$E81=""),"",$T81/IF($P81="H",$E81,IF($P81="D",$F81,$G81))-1)</f>
        <v/>
      </c>
    </row>
    <row r="82" customFormat="false" ht="15" hidden="false" customHeight="false" outlineLevel="0" collapsed="false">
      <c r="A82" s="29" t="n">
        <v>46199</v>
      </c>
      <c r="B82" s="24" t="s">
        <v>180</v>
      </c>
      <c r="C82" s="30" t="s">
        <v>92</v>
      </c>
      <c r="D82" s="31" t="str">
        <f aca="false">IF($C82="","",IF(VALUE(LEFT($C82,FIND("-",$C82)-1))&gt;VALUE(MID($C82,FIND("-",$C82)+1,5)),"H",IF(VALUE(LEFT($C82,FIND("-",$C82)-1))=VALUE(MID($C82,FIND("-",$C82)+1,5)),"D","A")))</f>
        <v>A</v>
      </c>
      <c r="E82" s="31"/>
      <c r="F82" s="31"/>
      <c r="G82" s="31"/>
      <c r="H82" s="31"/>
      <c r="I82" s="32" t="str">
        <f aca="false">IF($E82="","",1/$E82+1/$F82+1/$G82)</f>
        <v/>
      </c>
      <c r="J82" s="33" t="str">
        <f aca="false">IF($E82="","",(1/$E82)/$I82)</f>
        <v/>
      </c>
      <c r="K82" s="33" t="str">
        <f aca="false">IF($E82="","",(1/$F82)/$I82)</f>
        <v/>
      </c>
      <c r="L82" s="33" t="str">
        <f aca="false">IF($E82="","",(1/$G82)/$I82)</f>
        <v/>
      </c>
      <c r="M82" s="34" t="str">
        <f aca="false">IF($E82="","",0.5*(($J82-($D82="H")*1)^2+(($J82+$K82)-(($D82="H")*1+($D82="D")*1))^2))</f>
        <v/>
      </c>
      <c r="N82" s="34" t="str">
        <f aca="false">IF($E82="","",($J82-($D82="H")*1)^2+($K82-($D82="D")*1)^2+($L82-($D82="A")*1)^2)</f>
        <v/>
      </c>
      <c r="O82" s="34" t="str">
        <f aca="false">IF($E82="","",-LN(IF($D82="H",$J82,IF($D82="D",$K82,$L82))))</f>
        <v/>
      </c>
      <c r="P82" s="31" t="str">
        <f aca="false">IF($E82="","",IF(AND($E82&lt;=$F82,$E82&lt;=$G82),"H",IF(AND($F82&lt;=$E82,$F82&lt;=$G82),"D","A")))</f>
        <v/>
      </c>
      <c r="Q82" s="34" t="str">
        <f aca="false">IF($E82="","",0.5*((($P82="H")*1-($D82="H")*1)^2+((($P82="H")*1+($P82="D")*1)-(($D82="H")*1+($D82="D")*1))^2))</f>
        <v/>
      </c>
      <c r="R82" s="35" t="str">
        <f aca="false">IF($E82="","",IF($P82=$D82,IF($P82="H",$E82,IF($P82="D",$F82,$G82))-1,-1))</f>
        <v/>
      </c>
      <c r="S82" s="34" t="str">
        <f aca="false">IF($E82="","",0.5*((1/3-($D82="H")*1)^2+((2/3)-(($D82="H")*1+($D82="D")*1))^2))</f>
        <v/>
      </c>
      <c r="T82" s="31"/>
      <c r="U82" s="33" t="str">
        <f aca="false">IF(OR($T82="",$E82=""),"",$T82/IF($P82="H",$E82,IF($P82="D",$F82,$G82))-1)</f>
        <v/>
      </c>
    </row>
    <row r="83" customFormat="false" ht="15" hidden="false" customHeight="false" outlineLevel="0" collapsed="false">
      <c r="A83" s="29" t="n">
        <v>46199</v>
      </c>
      <c r="B83" s="24" t="s">
        <v>181</v>
      </c>
      <c r="C83" s="30" t="s">
        <v>152</v>
      </c>
      <c r="D83" s="31" t="str">
        <f aca="false">IF($C83="","",IF(VALUE(LEFT($C83,FIND("-",$C83)-1))&gt;VALUE(MID($C83,FIND("-",$C83)+1,5)),"H",IF(VALUE(LEFT($C83,FIND("-",$C83)-1))=VALUE(MID($C83,FIND("-",$C83)+1,5)),"D","A")))</f>
        <v>H</v>
      </c>
      <c r="E83" s="31"/>
      <c r="F83" s="31"/>
      <c r="G83" s="31"/>
      <c r="H83" s="31"/>
      <c r="I83" s="32" t="str">
        <f aca="false">IF($E83="","",1/$E83+1/$F83+1/$G83)</f>
        <v/>
      </c>
      <c r="J83" s="33" t="str">
        <f aca="false">IF($E83="","",(1/$E83)/$I83)</f>
        <v/>
      </c>
      <c r="K83" s="33" t="str">
        <f aca="false">IF($E83="","",(1/$F83)/$I83)</f>
        <v/>
      </c>
      <c r="L83" s="33" t="str">
        <f aca="false">IF($E83="","",(1/$G83)/$I83)</f>
        <v/>
      </c>
      <c r="M83" s="34" t="str">
        <f aca="false">IF($E83="","",0.5*(($J83-($D83="H")*1)^2+(($J83+$K83)-(($D83="H")*1+($D83="D")*1))^2))</f>
        <v/>
      </c>
      <c r="N83" s="34" t="str">
        <f aca="false">IF($E83="","",($J83-($D83="H")*1)^2+($K83-($D83="D")*1)^2+($L83-($D83="A")*1)^2)</f>
        <v/>
      </c>
      <c r="O83" s="34" t="str">
        <f aca="false">IF($E83="","",-LN(IF($D83="H",$J83,IF($D83="D",$K83,$L83))))</f>
        <v/>
      </c>
      <c r="P83" s="31" t="str">
        <f aca="false">IF($E83="","",IF(AND($E83&lt;=$F83,$E83&lt;=$G83),"H",IF(AND($F83&lt;=$E83,$F83&lt;=$G83),"D","A")))</f>
        <v/>
      </c>
      <c r="Q83" s="34" t="str">
        <f aca="false">IF($E83="","",0.5*((($P83="H")*1-($D83="H")*1)^2+((($P83="H")*1+($P83="D")*1)-(($D83="H")*1+($D83="D")*1))^2))</f>
        <v/>
      </c>
      <c r="R83" s="35" t="str">
        <f aca="false">IF($E83="","",IF($P83=$D83,IF($P83="H",$E83,IF($P83="D",$F83,$G83))-1,-1))</f>
        <v/>
      </c>
      <c r="S83" s="34" t="str">
        <f aca="false">IF($E83="","",0.5*((1/3-($D83="H")*1)^2+((2/3)-(($D83="H")*1+($D83="D")*1))^2))</f>
        <v/>
      </c>
      <c r="T83" s="31"/>
      <c r="U83" s="33" t="str">
        <f aca="false">IF(OR($T83="",$E83=""),"",$T83/IF($P83="H",$E83,IF($P83="D",$F83,$G83))-1)</f>
        <v/>
      </c>
    </row>
    <row r="84" customFormat="false" ht="15" hidden="false" customHeight="false" outlineLevel="0" collapsed="false">
      <c r="A84" s="29" t="n">
        <v>46199</v>
      </c>
      <c r="B84" s="24" t="s">
        <v>183</v>
      </c>
      <c r="C84" s="30" t="s">
        <v>75</v>
      </c>
      <c r="D84" s="31" t="str">
        <f aca="false">IF($C84="","",IF(VALUE(LEFT($C84,FIND("-",$C84)-1))&gt;VALUE(MID($C84,FIND("-",$C84)+1,5)),"H",IF(VALUE(LEFT($C84,FIND("-",$C84)-1))=VALUE(MID($C84,FIND("-",$C84)+1,5)),"D","A")))</f>
        <v>D</v>
      </c>
      <c r="E84" s="31"/>
      <c r="F84" s="31"/>
      <c r="G84" s="31"/>
      <c r="H84" s="31"/>
      <c r="I84" s="32" t="str">
        <f aca="false">IF($E84="","",1/$E84+1/$F84+1/$G84)</f>
        <v/>
      </c>
      <c r="J84" s="33" t="str">
        <f aca="false">IF($E84="","",(1/$E84)/$I84)</f>
        <v/>
      </c>
      <c r="K84" s="33" t="str">
        <f aca="false">IF($E84="","",(1/$F84)/$I84)</f>
        <v/>
      </c>
      <c r="L84" s="33" t="str">
        <f aca="false">IF($E84="","",(1/$G84)/$I84)</f>
        <v/>
      </c>
      <c r="M84" s="34" t="str">
        <f aca="false">IF($E84="","",0.5*(($J84-($D84="H")*1)^2+(($J84+$K84)-(($D84="H")*1+($D84="D")*1))^2))</f>
        <v/>
      </c>
      <c r="N84" s="34" t="str">
        <f aca="false">IF($E84="","",($J84-($D84="H")*1)^2+($K84-($D84="D")*1)^2+($L84-($D84="A")*1)^2)</f>
        <v/>
      </c>
      <c r="O84" s="34" t="str">
        <f aca="false">IF($E84="","",-LN(IF($D84="H",$J84,IF($D84="D",$K84,$L84))))</f>
        <v/>
      </c>
      <c r="P84" s="31" t="str">
        <f aca="false">IF($E84="","",IF(AND($E84&lt;=$F84,$E84&lt;=$G84),"H",IF(AND($F84&lt;=$E84,$F84&lt;=$G84),"D","A")))</f>
        <v/>
      </c>
      <c r="Q84" s="34" t="str">
        <f aca="false">IF($E84="","",0.5*((($P84="H")*1-($D84="H")*1)^2+((($P84="H")*1+($P84="D")*1)-(($D84="H")*1+($D84="D")*1))^2))</f>
        <v/>
      </c>
      <c r="R84" s="35" t="str">
        <f aca="false">IF($E84="","",IF($P84=$D84,IF($P84="H",$E84,IF($P84="D",$F84,$G84))-1,-1))</f>
        <v/>
      </c>
      <c r="S84" s="34" t="str">
        <f aca="false">IF($E84="","",0.5*((1/3-($D84="H")*1)^2+((2/3)-(($D84="H")*1+($D84="D")*1))^2))</f>
        <v/>
      </c>
      <c r="T84" s="31"/>
      <c r="U84" s="33" t="str">
        <f aca="false">IF(OR($T84="",$E84=""),"",$T84/IF($P84="H",$E84,IF($P84="D",$F84,$G84))-1)</f>
        <v/>
      </c>
    </row>
    <row r="85" customFormat="false" ht="15" hidden="false" customHeight="false" outlineLevel="0" collapsed="false">
      <c r="A85" s="29" t="n">
        <v>46199</v>
      </c>
      <c r="B85" s="24" t="s">
        <v>185</v>
      </c>
      <c r="C85" s="30" t="s">
        <v>50</v>
      </c>
      <c r="D85" s="31" t="str">
        <f aca="false">IF($C85="","",IF(VALUE(LEFT($C85,FIND("-",$C85)-1))&gt;VALUE(MID($C85,FIND("-",$C85)+1,5)),"H",IF(VALUE(LEFT($C85,FIND("-",$C85)-1))=VALUE(MID($C85,FIND("-",$C85)+1,5)),"D","A")))</f>
        <v>A</v>
      </c>
      <c r="E85" s="35" t="n">
        <v>7.5</v>
      </c>
      <c r="F85" s="35" t="n">
        <v>4.25</v>
      </c>
      <c r="G85" s="35" t="n">
        <v>1.5</v>
      </c>
      <c r="H85" s="31" t="s">
        <v>281</v>
      </c>
      <c r="I85" s="32" t="n">
        <f aca="false">IF($E85="","",1/$E85+1/$F85+1/$G85)</f>
        <v>1.03529411764706</v>
      </c>
      <c r="J85" s="33" t="n">
        <f aca="false">IF($E85="","",(1/$E85)/$I85)</f>
        <v>0.128787878787879</v>
      </c>
      <c r="K85" s="33" t="n">
        <f aca="false">IF($E85="","",(1/$F85)/$I85)</f>
        <v>0.227272727272727</v>
      </c>
      <c r="L85" s="33" t="n">
        <f aca="false">IF($E85="","",(1/$G85)/$I85)</f>
        <v>0.643939393939394</v>
      </c>
      <c r="M85" s="34" t="n">
        <f aca="false">IF($E85="","",0.5*(($J85-($D85="H")*1)^2+(($J85+$K85)-(($D85="H")*1+($D85="D")*1))^2))</f>
        <v>0.0716827364554638</v>
      </c>
      <c r="N85" s="34" t="n">
        <f aca="false">IF($E85="","",($J85-($D85="H")*1)^2+($K85-($D85="D")*1)^2+($L85-($D85="A")*1)^2)</f>
        <v>0.195018365472911</v>
      </c>
      <c r="O85" s="34" t="n">
        <f aca="false">IF($E85="","",-LN(IF($D85="H",$J85,IF($D85="D",$K85,$L85))))</f>
        <v>0.440150666096054</v>
      </c>
      <c r="P85" s="31" t="str">
        <f aca="false">IF($E85="","",IF(AND($E85&lt;=$F85,$E85&lt;=$G85),"H",IF(AND($F85&lt;=$E85,$F85&lt;=$G85),"D","A")))</f>
        <v>A</v>
      </c>
      <c r="Q85" s="34" t="n">
        <f aca="false">IF($E85="","",0.5*((($P85="H")*1-($D85="H")*1)^2+((($P85="H")*1+($P85="D")*1)-(($D85="H")*1+($D85="D")*1))^2))</f>
        <v>0</v>
      </c>
      <c r="R85" s="35" t="n">
        <f aca="false">IF($E85="","",IF($P85=$D85,IF($P85="H",$E85,IF($P85="D",$F85,$G85))-1,-1))</f>
        <v>0.5</v>
      </c>
      <c r="S85" s="34" t="n">
        <f aca="false">IF($E85="","",0.5*((1/3-($D85="H")*1)^2+((2/3)-(($D85="H")*1+($D85="D")*1))^2))</f>
        <v>0.277777777777778</v>
      </c>
      <c r="T85" s="31"/>
      <c r="U85" s="33" t="str">
        <f aca="false">IF(OR($T85="",$E85=""),"",$T85/IF($P85="H",$E85,IF($P85="D",$F85,$G85))-1)</f>
        <v/>
      </c>
    </row>
    <row r="86" customFormat="false" ht="15" hidden="false" customHeight="false" outlineLevel="0" collapsed="false">
      <c r="A86" s="29" t="n">
        <v>46199</v>
      </c>
      <c r="B86" s="24" t="s">
        <v>186</v>
      </c>
      <c r="C86" s="30" t="s">
        <v>35</v>
      </c>
      <c r="D86" s="31" t="str">
        <f aca="false">IF($C86="","",IF(VALUE(LEFT($C86,FIND("-",$C86)-1))&gt;VALUE(MID($C86,FIND("-",$C86)+1,5)),"H",IF(VALUE(LEFT($C86,FIND("-",$C86)-1))=VALUE(MID($C86,FIND("-",$C86)+1,5)),"D","A")))</f>
        <v>D</v>
      </c>
      <c r="E86" s="31"/>
      <c r="F86" s="31"/>
      <c r="G86" s="31"/>
      <c r="H86" s="31"/>
      <c r="I86" s="32" t="str">
        <f aca="false">IF($E86="","",1/$E86+1/$F86+1/$G86)</f>
        <v/>
      </c>
      <c r="J86" s="33" t="str">
        <f aca="false">IF($E86="","",(1/$E86)/$I86)</f>
        <v/>
      </c>
      <c r="K86" s="33" t="str">
        <f aca="false">IF($E86="","",(1/$F86)/$I86)</f>
        <v/>
      </c>
      <c r="L86" s="33" t="str">
        <f aca="false">IF($E86="","",(1/$G86)/$I86)</f>
        <v/>
      </c>
      <c r="M86" s="34" t="str">
        <f aca="false">IF($E86="","",0.5*(($J86-($D86="H")*1)^2+(($J86+$K86)-(($D86="H")*1+($D86="D")*1))^2))</f>
        <v/>
      </c>
      <c r="N86" s="34" t="str">
        <f aca="false">IF($E86="","",($J86-($D86="H")*1)^2+($K86-($D86="D")*1)^2+($L86-($D86="A")*1)^2)</f>
        <v/>
      </c>
      <c r="O86" s="34" t="str">
        <f aca="false">IF($E86="","",-LN(IF($D86="H",$J86,IF($D86="D",$K86,$L86))))</f>
        <v/>
      </c>
      <c r="P86" s="31" t="str">
        <f aca="false">IF($E86="","",IF(AND($E86&lt;=$F86,$E86&lt;=$G86),"H",IF(AND($F86&lt;=$E86,$F86&lt;=$G86),"D","A")))</f>
        <v/>
      </c>
      <c r="Q86" s="34" t="str">
        <f aca="false">IF($E86="","",0.5*((($P86="H")*1-($D86="H")*1)^2+((($P86="H")*1+($P86="D")*1)-(($D86="H")*1+($D86="D")*1))^2))</f>
        <v/>
      </c>
      <c r="R86" s="35" t="str">
        <f aca="false">IF($E86="","",IF($P86=$D86,IF($P86="H",$E86,IF($P86="D",$F86,$G86))-1,-1))</f>
        <v/>
      </c>
      <c r="S86" s="34" t="str">
        <f aca="false">IF($E86="","",0.5*((1/3-($D86="H")*1)^2+((2/3)-(($D86="H")*1+($D86="D")*1))^2))</f>
        <v/>
      </c>
      <c r="T86" s="31"/>
      <c r="U86" s="33" t="str">
        <f aca="false">IF(OR($T86="",$E86=""),"",$T86/IF($P86="H",$E86,IF($P86="D",$F86,$G86))-1)</f>
        <v/>
      </c>
    </row>
    <row r="87" customFormat="false" ht="15" hidden="false" customHeight="false" outlineLevel="0" collapsed="false">
      <c r="A87" s="29" t="n">
        <v>46199</v>
      </c>
      <c r="B87" s="24" t="s">
        <v>187</v>
      </c>
      <c r="C87" s="30" t="s">
        <v>188</v>
      </c>
      <c r="D87" s="31" t="str">
        <f aca="false">IF($C87="","",IF(VALUE(LEFT($C87,FIND("-",$C87)-1))&gt;VALUE(MID($C87,FIND("-",$C87)+1,5)),"H",IF(VALUE(LEFT($C87,FIND("-",$C87)-1))=VALUE(MID($C87,FIND("-",$C87)+1,5)),"D","A")))</f>
        <v>A</v>
      </c>
      <c r="E87" s="35" t="n">
        <v>7.5</v>
      </c>
      <c r="F87" s="35" t="n">
        <v>4.25</v>
      </c>
      <c r="G87" s="35" t="n">
        <v>1.5</v>
      </c>
      <c r="H87" s="31" t="s">
        <v>281</v>
      </c>
      <c r="I87" s="32" t="n">
        <f aca="false">IF($E87="","",1/$E87+1/$F87+1/$G87)</f>
        <v>1.03529411764706</v>
      </c>
      <c r="J87" s="33" t="n">
        <f aca="false">IF($E87="","",(1/$E87)/$I87)</f>
        <v>0.128787878787879</v>
      </c>
      <c r="K87" s="33" t="n">
        <f aca="false">IF($E87="","",(1/$F87)/$I87)</f>
        <v>0.227272727272727</v>
      </c>
      <c r="L87" s="33" t="n">
        <f aca="false">IF($E87="","",(1/$G87)/$I87)</f>
        <v>0.643939393939394</v>
      </c>
      <c r="M87" s="34" t="n">
        <f aca="false">IF($E87="","",0.5*(($J87-($D87="H")*1)^2+(($J87+$K87)-(($D87="H")*1+($D87="D")*1))^2))</f>
        <v>0.0716827364554638</v>
      </c>
      <c r="N87" s="34" t="n">
        <f aca="false">IF($E87="","",($J87-($D87="H")*1)^2+($K87-($D87="D")*1)^2+($L87-($D87="A")*1)^2)</f>
        <v>0.195018365472911</v>
      </c>
      <c r="O87" s="34" t="n">
        <f aca="false">IF($E87="","",-LN(IF($D87="H",$J87,IF($D87="D",$K87,$L87))))</f>
        <v>0.440150666096054</v>
      </c>
      <c r="P87" s="31" t="str">
        <f aca="false">IF($E87="","",IF(AND($E87&lt;=$F87,$E87&lt;=$G87),"H",IF(AND($F87&lt;=$E87,$F87&lt;=$G87),"D","A")))</f>
        <v>A</v>
      </c>
      <c r="Q87" s="34" t="n">
        <f aca="false">IF($E87="","",0.5*((($P87="H")*1-($D87="H")*1)^2+((($P87="H")*1+($P87="D")*1)-(($D87="H")*1+($D87="D")*1))^2))</f>
        <v>0</v>
      </c>
      <c r="R87" s="35" t="n">
        <f aca="false">IF($E87="","",IF($P87=$D87,IF($P87="H",$E87,IF($P87="D",$F87,$G87))-1,-1))</f>
        <v>0.5</v>
      </c>
      <c r="S87" s="34" t="n">
        <f aca="false">IF($E87="","",0.5*((1/3-($D87="H")*1)^2+((2/3)-(($D87="H")*1+($D87="D")*1))^2))</f>
        <v>0.277777777777778</v>
      </c>
      <c r="T87" s="31"/>
      <c r="U87" s="33" t="str">
        <f aca="false">IF(OR($T87="",$E87=""),"",$T87/IF($P87="H",$E87,IF($P87="D",$F87,$G87))-1)</f>
        <v/>
      </c>
    </row>
    <row r="88" customFormat="false" ht="15" hidden="false" customHeight="false" outlineLevel="0" collapsed="false">
      <c r="A88" s="29" t="n">
        <v>46200</v>
      </c>
      <c r="B88" s="24" t="s">
        <v>189</v>
      </c>
      <c r="C88" s="30" t="s">
        <v>150</v>
      </c>
      <c r="D88" s="31" t="str">
        <f aca="false">IF($C88="","",IF(VALUE(LEFT($C88,FIND("-",$C88)-1))&gt;VALUE(MID($C88,FIND("-",$C88)+1,5)),"H",IF(VALUE(LEFT($C88,FIND("-",$C88)-1))=VALUE(MID($C88,FIND("-",$C88)+1,5)),"D","A")))</f>
        <v>A</v>
      </c>
      <c r="E88" s="31"/>
      <c r="F88" s="31"/>
      <c r="G88" s="31"/>
      <c r="H88" s="31"/>
      <c r="I88" s="32" t="str">
        <f aca="false">IF($E88="","",1/$E88+1/$F88+1/$G88)</f>
        <v/>
      </c>
      <c r="J88" s="33" t="str">
        <f aca="false">IF($E88="","",(1/$E88)/$I88)</f>
        <v/>
      </c>
      <c r="K88" s="33" t="str">
        <f aca="false">IF($E88="","",(1/$F88)/$I88)</f>
        <v/>
      </c>
      <c r="L88" s="33" t="str">
        <f aca="false">IF($E88="","",(1/$G88)/$I88)</f>
        <v/>
      </c>
      <c r="M88" s="34" t="str">
        <f aca="false">IF($E88="","",0.5*(($J88-($D88="H")*1)^2+(($J88+$K88)-(($D88="H")*1+($D88="D")*1))^2))</f>
        <v/>
      </c>
      <c r="N88" s="34" t="str">
        <f aca="false">IF($E88="","",($J88-($D88="H")*1)^2+($K88-($D88="D")*1)^2+($L88-($D88="A")*1)^2)</f>
        <v/>
      </c>
      <c r="O88" s="34" t="str">
        <f aca="false">IF($E88="","",-LN(IF($D88="H",$J88,IF($D88="D",$K88,$L88))))</f>
        <v/>
      </c>
      <c r="P88" s="31" t="str">
        <f aca="false">IF($E88="","",IF(AND($E88&lt;=$F88,$E88&lt;=$G88),"H",IF(AND($F88&lt;=$E88,$F88&lt;=$G88),"D","A")))</f>
        <v/>
      </c>
      <c r="Q88" s="34" t="str">
        <f aca="false">IF($E88="","",0.5*((($P88="H")*1-($D88="H")*1)^2+((($P88="H")*1+($P88="D")*1)-(($D88="H")*1+($D88="D")*1))^2))</f>
        <v/>
      </c>
      <c r="R88" s="35" t="str">
        <f aca="false">IF($E88="","",IF($P88=$D88,IF($P88="H",$E88,IF($P88="D",$F88,$G88))-1,-1))</f>
        <v/>
      </c>
      <c r="S88" s="34" t="str">
        <f aca="false">IF($E88="","",0.5*((1/3-($D88="H")*1)^2+((2/3)-(($D88="H")*1+($D88="D")*1))^2))</f>
        <v/>
      </c>
      <c r="T88" s="31"/>
      <c r="U88" s="33" t="str">
        <f aca="false">IF(OR($T88="",$E88=""),"",$T88/IF($P88="H",$E88,IF($P88="D",$F88,$G88))-1)</f>
        <v/>
      </c>
    </row>
    <row r="89" customFormat="false" ht="15" hidden="false" customHeight="false" outlineLevel="0" collapsed="false">
      <c r="A89" s="29" t="n">
        <v>46200</v>
      </c>
      <c r="B89" s="24" t="s">
        <v>190</v>
      </c>
      <c r="C89" s="30" t="s">
        <v>31</v>
      </c>
      <c r="D89" s="31" t="str">
        <f aca="false">IF($C89="","",IF(VALUE(LEFT($C89,FIND("-",$C89)-1))&gt;VALUE(MID($C89,FIND("-",$C89)+1,5)),"H",IF(VALUE(LEFT($C89,FIND("-",$C89)-1))=VALUE(MID($C89,FIND("-",$C89)+1,5)),"D","A")))</f>
        <v>H</v>
      </c>
      <c r="E89" s="31"/>
      <c r="F89" s="31"/>
      <c r="G89" s="31"/>
      <c r="H89" s="31"/>
      <c r="I89" s="32" t="str">
        <f aca="false">IF($E89="","",1/$E89+1/$F89+1/$G89)</f>
        <v/>
      </c>
      <c r="J89" s="33" t="str">
        <f aca="false">IF($E89="","",(1/$E89)/$I89)</f>
        <v/>
      </c>
      <c r="K89" s="33" t="str">
        <f aca="false">IF($E89="","",(1/$F89)/$I89)</f>
        <v/>
      </c>
      <c r="L89" s="33" t="str">
        <f aca="false">IF($E89="","",(1/$G89)/$I89)</f>
        <v/>
      </c>
      <c r="M89" s="34" t="str">
        <f aca="false">IF($E89="","",0.5*(($J89-($D89="H")*1)^2+(($J89+$K89)-(($D89="H")*1+($D89="D")*1))^2))</f>
        <v/>
      </c>
      <c r="N89" s="34" t="str">
        <f aca="false">IF($E89="","",($J89-($D89="H")*1)^2+($K89-($D89="D")*1)^2+($L89-($D89="A")*1)^2)</f>
        <v/>
      </c>
      <c r="O89" s="34" t="str">
        <f aca="false">IF($E89="","",-LN(IF($D89="H",$J89,IF($D89="D",$K89,$L89))))</f>
        <v/>
      </c>
      <c r="P89" s="31" t="str">
        <f aca="false">IF($E89="","",IF(AND($E89&lt;=$F89,$E89&lt;=$G89),"H",IF(AND($F89&lt;=$E89,$F89&lt;=$G89),"D","A")))</f>
        <v/>
      </c>
      <c r="Q89" s="34" t="str">
        <f aca="false">IF($E89="","",0.5*((($P89="H")*1-($D89="H")*1)^2+((($P89="H")*1+($P89="D")*1)-(($D89="H")*1+($D89="D")*1))^2))</f>
        <v/>
      </c>
      <c r="R89" s="35" t="str">
        <f aca="false">IF($E89="","",IF($P89=$D89,IF($P89="H",$E89,IF($P89="D",$F89,$G89))-1,-1))</f>
        <v/>
      </c>
      <c r="S89" s="34" t="str">
        <f aca="false">IF($E89="","",0.5*((1/3-($D89="H")*1)^2+((2/3)-(($D89="H")*1+($D89="D")*1))^2))</f>
        <v/>
      </c>
      <c r="T89" s="31"/>
      <c r="U89" s="33" t="str">
        <f aca="false">IF(OR($T89="",$E89=""),"",$T89/IF($P89="H",$E89,IF($P89="D",$F89,$G89))-1)</f>
        <v/>
      </c>
    </row>
    <row r="90" customFormat="false" ht="15" hidden="false" customHeight="false" outlineLevel="0" collapsed="false">
      <c r="A90" s="29" t="n">
        <v>46200</v>
      </c>
      <c r="B90" s="24" t="s">
        <v>191</v>
      </c>
      <c r="C90" s="30" t="s">
        <v>75</v>
      </c>
      <c r="D90" s="31" t="str">
        <f aca="false">IF($C90="","",IF(VALUE(LEFT($C90,FIND("-",$C90)-1))&gt;VALUE(MID($C90,FIND("-",$C90)+1,5)),"H",IF(VALUE(LEFT($C90,FIND("-",$C90)-1))=VALUE(MID($C90,FIND("-",$C90)+1,5)),"D","A")))</f>
        <v>D</v>
      </c>
      <c r="E90" s="31"/>
      <c r="F90" s="31"/>
      <c r="G90" s="31"/>
      <c r="H90" s="31"/>
      <c r="I90" s="32" t="str">
        <f aca="false">IF($E90="","",1/$E90+1/$F90+1/$G90)</f>
        <v/>
      </c>
      <c r="J90" s="33" t="str">
        <f aca="false">IF($E90="","",(1/$E90)/$I90)</f>
        <v/>
      </c>
      <c r="K90" s="33" t="str">
        <f aca="false">IF($E90="","",(1/$F90)/$I90)</f>
        <v/>
      </c>
      <c r="L90" s="33" t="str">
        <f aca="false">IF($E90="","",(1/$G90)/$I90)</f>
        <v/>
      </c>
      <c r="M90" s="34" t="str">
        <f aca="false">IF($E90="","",0.5*(($J90-($D90="H")*1)^2+(($J90+$K90)-(($D90="H")*1+($D90="D")*1))^2))</f>
        <v/>
      </c>
      <c r="N90" s="34" t="str">
        <f aca="false">IF($E90="","",($J90-($D90="H")*1)^2+($K90-($D90="D")*1)^2+($L90-($D90="A")*1)^2)</f>
        <v/>
      </c>
      <c r="O90" s="34" t="str">
        <f aca="false">IF($E90="","",-LN(IF($D90="H",$J90,IF($D90="D",$K90,$L90))))</f>
        <v/>
      </c>
      <c r="P90" s="31" t="str">
        <f aca="false">IF($E90="","",IF(AND($E90&lt;=$F90,$E90&lt;=$G90),"H",IF(AND($F90&lt;=$E90,$F90&lt;=$G90),"D","A")))</f>
        <v/>
      </c>
      <c r="Q90" s="34" t="str">
        <f aca="false">IF($E90="","",0.5*((($P90="H")*1-($D90="H")*1)^2+((($P90="H")*1+($P90="D")*1)-(($D90="H")*1+($D90="D")*1))^2))</f>
        <v/>
      </c>
      <c r="R90" s="35" t="str">
        <f aca="false">IF($E90="","",IF($P90=$D90,IF($P90="H",$E90,IF($P90="D",$F90,$G90))-1,-1))</f>
        <v/>
      </c>
      <c r="S90" s="34" t="str">
        <f aca="false">IF($E90="","",0.5*((1/3-($D90="H")*1)^2+((2/3)-(($D90="H")*1+($D90="D")*1))^2))</f>
        <v/>
      </c>
      <c r="T90" s="31"/>
      <c r="U90" s="33" t="str">
        <f aca="false">IF(OR($T90="",$E90=""),"",$T90/IF($P90="H",$E90,IF($P90="D",$F90,$G90))-1)</f>
        <v/>
      </c>
    </row>
    <row r="91" customFormat="false" ht="15" hidden="false" customHeight="false" outlineLevel="0" collapsed="false">
      <c r="A91" s="29" t="n">
        <v>46200</v>
      </c>
      <c r="B91" s="24" t="s">
        <v>192</v>
      </c>
      <c r="C91" s="30" t="s">
        <v>88</v>
      </c>
      <c r="D91" s="31" t="str">
        <f aca="false">IF($C91="","",IF(VALUE(LEFT($C91,FIND("-",$C91)-1))&gt;VALUE(MID($C91,FIND("-",$C91)+1,5)),"H",IF(VALUE(LEFT($C91,FIND("-",$C91)-1))=VALUE(MID($C91,FIND("-",$C91)+1,5)),"D","A")))</f>
        <v>H</v>
      </c>
      <c r="E91" s="35" t="n">
        <v>1.64</v>
      </c>
      <c r="F91" s="35" t="n">
        <v>3.85</v>
      </c>
      <c r="G91" s="35" t="n">
        <v>5</v>
      </c>
      <c r="H91" s="31" t="s">
        <v>282</v>
      </c>
      <c r="I91" s="32" t="n">
        <f aca="false">IF($E91="","",1/$E91+1/$F91+1/$G91)</f>
        <v>1.06949635730124</v>
      </c>
      <c r="J91" s="33" t="n">
        <f aca="false">IF($E91="","",(1/$E91)/$I91)</f>
        <v>0.570133870394503</v>
      </c>
      <c r="K91" s="33" t="n">
        <f aca="false">IF($E91="","",(1/$F91)/$I91)</f>
        <v>0.2428622201161</v>
      </c>
      <c r="L91" s="33" t="n">
        <f aca="false">IF($E91="","",(1/$G91)/$I91)</f>
        <v>0.187003909489397</v>
      </c>
      <c r="M91" s="34" t="n">
        <f aca="false">IF($E91="","",0.5*(($J91-($D91="H")*1)^2+(($J91+$K91)-(($D91="H")*1+($D91="D")*1))^2))</f>
        <v>0.109877675773164</v>
      </c>
      <c r="N91" s="34" t="n">
        <f aca="false">IF($E91="","",($J91-($D91="H")*1)^2+($K91-($D91="D")*1)^2+($L91-($D91="A")*1)^2)</f>
        <v>0.27873740950605</v>
      </c>
      <c r="O91" s="34" t="n">
        <f aca="false">IF($E91="","",-LN(IF($D91="H",$J91,IF($D91="D",$K91,$L91))))</f>
        <v>0.56188408538768</v>
      </c>
      <c r="P91" s="31" t="str">
        <f aca="false">IF($E91="","",IF(AND($E91&lt;=$F91,$E91&lt;=$G91),"H",IF(AND($F91&lt;=$E91,$F91&lt;=$G91),"D","A")))</f>
        <v>H</v>
      </c>
      <c r="Q91" s="34" t="n">
        <f aca="false">IF($E91="","",0.5*((($P91="H")*1-($D91="H")*1)^2+((($P91="H")*1+($P91="D")*1)-(($D91="H")*1+($D91="D")*1))^2))</f>
        <v>0</v>
      </c>
      <c r="R91" s="35" t="n">
        <f aca="false">IF($E91="","",IF($P91=$D91,IF($P91="H",$E91,IF($P91="D",$F91,$G91))-1,-1))</f>
        <v>0.64</v>
      </c>
      <c r="S91" s="34" t="n">
        <f aca="false">IF($E91="","",0.5*((1/3-($D91="H")*1)^2+((2/3)-(($D91="H")*1+($D91="D")*1))^2))</f>
        <v>0.277777777777778</v>
      </c>
      <c r="T91" s="31"/>
      <c r="U91" s="33" t="str">
        <f aca="false">IF(OR($T91="",$E91=""),"",$T91/IF($P91="H",$E91,IF($P91="D",$F91,$G91))-1)</f>
        <v/>
      </c>
    </row>
    <row r="92" customFormat="false" ht="15" hidden="false" customHeight="false" outlineLevel="0" collapsed="false">
      <c r="A92" s="29" t="n">
        <v>46200</v>
      </c>
      <c r="B92" s="24" t="s">
        <v>195</v>
      </c>
      <c r="C92" s="30" t="s">
        <v>196</v>
      </c>
      <c r="D92" s="31" t="str">
        <f aca="false">IF($C92="","",IF(VALUE(LEFT($C92,FIND("-",$C92)-1))&gt;VALUE(MID($C92,FIND("-",$C92)+1,5)),"H",IF(VALUE(LEFT($C92,FIND("-",$C92)-1))=VALUE(MID($C92,FIND("-",$C92)+1,5)),"D","A")))</f>
        <v>D</v>
      </c>
      <c r="E92" s="31"/>
      <c r="F92" s="31"/>
      <c r="G92" s="31"/>
      <c r="H92" s="31"/>
      <c r="I92" s="32" t="str">
        <f aca="false">IF($E92="","",1/$E92+1/$F92+1/$G92)</f>
        <v/>
      </c>
      <c r="J92" s="33" t="str">
        <f aca="false">IF($E92="","",(1/$E92)/$I92)</f>
        <v/>
      </c>
      <c r="K92" s="33" t="str">
        <f aca="false">IF($E92="","",(1/$F92)/$I92)</f>
        <v/>
      </c>
      <c r="L92" s="33" t="str">
        <f aca="false">IF($E92="","",(1/$G92)/$I92)</f>
        <v/>
      </c>
      <c r="M92" s="34" t="str">
        <f aca="false">IF($E92="","",0.5*(($J92-($D92="H")*1)^2+(($J92+$K92)-(($D92="H")*1+($D92="D")*1))^2))</f>
        <v/>
      </c>
      <c r="N92" s="34" t="str">
        <f aca="false">IF($E92="","",($J92-($D92="H")*1)^2+($K92-($D92="D")*1)^2+($L92-($D92="A")*1)^2)</f>
        <v/>
      </c>
      <c r="O92" s="34" t="str">
        <f aca="false">IF($E92="","",-LN(IF($D92="H",$J92,IF($D92="D",$K92,$L92))))</f>
        <v/>
      </c>
      <c r="P92" s="31" t="str">
        <f aca="false">IF($E92="","",IF(AND($E92&lt;=$F92,$E92&lt;=$G92),"H",IF(AND($F92&lt;=$E92,$F92&lt;=$G92),"D","A")))</f>
        <v/>
      </c>
      <c r="Q92" s="34" t="str">
        <f aca="false">IF($E92="","",0.5*((($P92="H")*1-($D92="H")*1)^2+((($P92="H")*1+($P92="D")*1)-(($D92="H")*1+($D92="D")*1))^2))</f>
        <v/>
      </c>
      <c r="R92" s="35" t="str">
        <f aca="false">IF($E92="","",IF($P92=$D92,IF($P92="H",$E92,IF($P92="D",$F92,$G92))-1,-1))</f>
        <v/>
      </c>
      <c r="S92" s="34" t="str">
        <f aca="false">IF($E92="","",0.5*((1/3-($D92="H")*1)^2+((2/3)-(($D92="H")*1+($D92="D")*1))^2))</f>
        <v/>
      </c>
      <c r="T92" s="31"/>
      <c r="U92" s="33" t="str">
        <f aca="false">IF(OR($T92="",$E92=""),"",$T92/IF($P92="H",$E92,IF($P92="D",$F92,$G92))-1)</f>
        <v/>
      </c>
    </row>
    <row r="93" customFormat="false" ht="15" hidden="false" customHeight="false" outlineLevel="0" collapsed="false">
      <c r="A93" s="29" t="n">
        <v>46200</v>
      </c>
      <c r="B93" s="24" t="s">
        <v>197</v>
      </c>
      <c r="C93" s="30" t="s">
        <v>113</v>
      </c>
      <c r="D93" s="31" t="str">
        <f aca="false">IF($C93="","",IF(VALUE(LEFT($C93,FIND("-",$C93)-1))&gt;VALUE(MID($C93,FIND("-",$C93)+1,5)),"H",IF(VALUE(LEFT($C93,FIND("-",$C93)-1))=VALUE(MID($C93,FIND("-",$C93)+1,5)),"D","A")))</f>
        <v>A</v>
      </c>
      <c r="E93" s="31"/>
      <c r="F93" s="31"/>
      <c r="G93" s="31"/>
      <c r="H93" s="31"/>
      <c r="I93" s="32" t="str">
        <f aca="false">IF($E93="","",1/$E93+1/$F93+1/$G93)</f>
        <v/>
      </c>
      <c r="J93" s="33" t="str">
        <f aca="false">IF($E93="","",(1/$E93)/$I93)</f>
        <v/>
      </c>
      <c r="K93" s="33" t="str">
        <f aca="false">IF($E93="","",(1/$F93)/$I93)</f>
        <v/>
      </c>
      <c r="L93" s="33" t="str">
        <f aca="false">IF($E93="","",(1/$G93)/$I93)</f>
        <v/>
      </c>
      <c r="M93" s="34" t="str">
        <f aca="false">IF($E93="","",0.5*(($J93-($D93="H")*1)^2+(($J93+$K93)-(($D93="H")*1+($D93="D")*1))^2))</f>
        <v/>
      </c>
      <c r="N93" s="34" t="str">
        <f aca="false">IF($E93="","",($J93-($D93="H")*1)^2+($K93-($D93="D")*1)^2+($L93-($D93="A")*1)^2)</f>
        <v/>
      </c>
      <c r="O93" s="34" t="str">
        <f aca="false">IF($E93="","",-LN(IF($D93="H",$J93,IF($D93="D",$K93,$L93))))</f>
        <v/>
      </c>
      <c r="P93" s="31" t="str">
        <f aca="false">IF($E93="","",IF(AND($E93&lt;=$F93,$E93&lt;=$G93),"H",IF(AND($F93&lt;=$E93,$F93&lt;=$G93),"D","A")))</f>
        <v/>
      </c>
      <c r="Q93" s="34" t="str">
        <f aca="false">IF($E93="","",0.5*((($P93="H")*1-($D93="H")*1)^2+((($P93="H")*1+($P93="D")*1)-(($D93="H")*1+($D93="D")*1))^2))</f>
        <v/>
      </c>
      <c r="R93" s="35" t="str">
        <f aca="false">IF($E93="","",IF($P93=$D93,IF($P93="H",$E93,IF($P93="D",$F93,$G93))-1,-1))</f>
        <v/>
      </c>
      <c r="S93" s="34" t="str">
        <f aca="false">IF($E93="","",0.5*((1/3-($D93="H")*1)^2+((2/3)-(($D93="H")*1+($D93="D")*1))^2))</f>
        <v/>
      </c>
      <c r="T93" s="31"/>
      <c r="U93" s="33" t="str">
        <f aca="false">IF(OR($T93="",$E93=""),"",$T93/IF($P93="H",$E93,IF($P93="D",$F93,$G93))-1)</f>
        <v/>
      </c>
    </row>
    <row r="94" customFormat="false" ht="15" hidden="false" customHeight="false" outlineLevel="0" collapsed="false">
      <c r="A94" s="29" t="n">
        <v>46201</v>
      </c>
      <c r="B94" s="24" t="s">
        <v>216</v>
      </c>
      <c r="C94" s="30" t="s">
        <v>66</v>
      </c>
      <c r="D94" s="31" t="str">
        <f aca="false">IF($C94="","",IF(VALUE(LEFT($C94,FIND("-",$C94)-1))&gt;VALUE(MID($C94,FIND("-",$C94)+1,5)),"H",IF(VALUE(LEFT($C94,FIND("-",$C94)-1))=VALUE(MID($C94,FIND("-",$C94)+1,5)),"D","A")))</f>
        <v>H</v>
      </c>
      <c r="E94" s="31"/>
      <c r="F94" s="31"/>
      <c r="G94" s="31"/>
      <c r="H94" s="31"/>
      <c r="I94" s="32" t="str">
        <f aca="false">IF($E94="","",1/$E94+1/$F94+1/$G94)</f>
        <v/>
      </c>
      <c r="J94" s="33" t="str">
        <f aca="false">IF($E94="","",(1/$E94)/$I94)</f>
        <v/>
      </c>
      <c r="K94" s="33" t="str">
        <f aca="false">IF($E94="","",(1/$F94)/$I94)</f>
        <v/>
      </c>
      <c r="L94" s="33" t="str">
        <f aca="false">IF($E94="","",(1/$G94)/$I94)</f>
        <v/>
      </c>
      <c r="M94" s="34" t="str">
        <f aca="false">IF($E94="","",0.5*(($J94-($D94="H")*1)^2+(($J94+$K94)-(($D94="H")*1+($D94="D")*1))^2))</f>
        <v/>
      </c>
      <c r="N94" s="34" t="str">
        <f aca="false">IF($E94="","",($J94-($D94="H")*1)^2+($K94-($D94="D")*1)^2+($L94-($D94="A")*1)^2)</f>
        <v/>
      </c>
      <c r="O94" s="34" t="str">
        <f aca="false">IF($E94="","",-LN(IF($D94="H",$J94,IF($D94="D",$K94,$L94))))</f>
        <v/>
      </c>
      <c r="P94" s="31" t="str">
        <f aca="false">IF($E94="","",IF(AND($E94&lt;=$F94,$E94&lt;=$G94),"H",IF(AND($F94&lt;=$E94,$F94&lt;=$G94),"D","A")))</f>
        <v/>
      </c>
      <c r="Q94" s="34" t="str">
        <f aca="false">IF($E94="","",0.5*((($P94="H")*1-($D94="H")*1)^2+((($P94="H")*1+($P94="D")*1)-(($D94="H")*1+($D94="D")*1))^2))</f>
        <v/>
      </c>
      <c r="R94" s="35" t="str">
        <f aca="false">IF($E94="","",IF($P94=$D94,IF($P94="H",$E94,IF($P94="D",$F94,$G94))-1,-1))</f>
        <v/>
      </c>
      <c r="S94" s="34" t="str">
        <f aca="false">IF($E94="","",0.5*((1/3-($D94="H")*1)^2+((2/3)-(($D94="H")*1+($D94="D")*1))^2))</f>
        <v/>
      </c>
      <c r="T94" s="31"/>
      <c r="U94" s="33" t="str">
        <f aca="false">IF(OR($T94="",$E94=""),"",$T94/IF($P94="H",$E94,IF($P94="D",$F94,$G94))-1)</f>
        <v/>
      </c>
    </row>
    <row r="95" customFormat="false" ht="15" hidden="false" customHeight="false" outlineLevel="0" collapsed="false">
      <c r="A95" s="29" t="n">
        <v>46202</v>
      </c>
      <c r="B95" s="24" t="s">
        <v>218</v>
      </c>
      <c r="C95" s="30" t="s">
        <v>31</v>
      </c>
      <c r="D95" s="31" t="str">
        <f aca="false">IF($C95="","",IF(VALUE(LEFT($C95,FIND("-",$C95)-1))&gt;VALUE(MID($C95,FIND("-",$C95)+1,5)),"H",IF(VALUE(LEFT($C95,FIND("-",$C95)-1))=VALUE(MID($C95,FIND("-",$C95)+1,5)),"D","A")))</f>
        <v>H</v>
      </c>
      <c r="E95" s="31"/>
      <c r="F95" s="31"/>
      <c r="G95" s="31"/>
      <c r="H95" s="31"/>
      <c r="I95" s="32" t="str">
        <f aca="false">IF($E95="","",1/$E95+1/$F95+1/$G95)</f>
        <v/>
      </c>
      <c r="J95" s="33" t="str">
        <f aca="false">IF($E95="","",(1/$E95)/$I95)</f>
        <v/>
      </c>
      <c r="K95" s="33" t="str">
        <f aca="false">IF($E95="","",(1/$F95)/$I95)</f>
        <v/>
      </c>
      <c r="L95" s="33" t="str">
        <f aca="false">IF($E95="","",(1/$G95)/$I95)</f>
        <v/>
      </c>
      <c r="M95" s="34" t="str">
        <f aca="false">IF($E95="","",0.5*(($J95-($D95="H")*1)^2+(($J95+$K95)-(($D95="H")*1+($D95="D")*1))^2))</f>
        <v/>
      </c>
      <c r="N95" s="34" t="str">
        <f aca="false">IF($E95="","",($J95-($D95="H")*1)^2+($K95-($D95="D")*1)^2+($L95-($D95="A")*1)^2)</f>
        <v/>
      </c>
      <c r="O95" s="34" t="str">
        <f aca="false">IF($E95="","",-LN(IF($D95="H",$J95,IF($D95="D",$K95,$L95))))</f>
        <v/>
      </c>
      <c r="P95" s="31" t="str">
        <f aca="false">IF($E95="","",IF(AND($E95&lt;=$F95,$E95&lt;=$G95),"H",IF(AND($F95&lt;=$E95,$F95&lt;=$G95),"D","A")))</f>
        <v/>
      </c>
      <c r="Q95" s="34" t="str">
        <f aca="false">IF($E95="","",0.5*((($P95="H")*1-($D95="H")*1)^2+((($P95="H")*1+($P95="D")*1)-(($D95="H")*1+($D95="D")*1))^2))</f>
        <v/>
      </c>
      <c r="R95" s="35" t="str">
        <f aca="false">IF($E95="","",IF($P95=$D95,IF($P95="H",$E95,IF($P95="D",$F95,$G95))-1,-1))</f>
        <v/>
      </c>
      <c r="S95" s="34" t="str">
        <f aca="false">IF($E95="","",0.5*((1/3-($D95="H")*1)^2+((2/3)-(($D95="H")*1+($D95="D")*1))^2))</f>
        <v/>
      </c>
      <c r="T95" s="31"/>
      <c r="U95" s="33" t="str">
        <f aca="false">IF(OR($T95="",$E95=""),"",$T95/IF($P95="H",$E95,IF($P95="D",$F95,$G95))-1)</f>
        <v/>
      </c>
    </row>
    <row r="96" customFormat="false" ht="15" hidden="false" customHeight="false" outlineLevel="0" collapsed="false">
      <c r="A96" s="29" t="n">
        <v>46202</v>
      </c>
      <c r="B96" s="24" t="s">
        <v>219</v>
      </c>
      <c r="C96" s="30" t="s">
        <v>35</v>
      </c>
      <c r="D96" s="31" t="str">
        <f aca="false">IF($C96="","",IF(VALUE(LEFT($C96,FIND("-",$C96)-1))&gt;VALUE(MID($C96,FIND("-",$C96)+1,5)),"H",IF(VALUE(LEFT($C96,FIND("-",$C96)-1))=VALUE(MID($C96,FIND("-",$C96)+1,5)),"D","A")))</f>
        <v>D</v>
      </c>
      <c r="E96" s="31"/>
      <c r="F96" s="31"/>
      <c r="G96" s="31"/>
      <c r="H96" s="31"/>
      <c r="I96" s="32" t="str">
        <f aca="false">IF($E96="","",1/$E96+1/$F96+1/$G96)</f>
        <v/>
      </c>
      <c r="J96" s="33" t="str">
        <f aca="false">IF($E96="","",(1/$E96)/$I96)</f>
        <v/>
      </c>
      <c r="K96" s="33" t="str">
        <f aca="false">IF($E96="","",(1/$F96)/$I96)</f>
        <v/>
      </c>
      <c r="L96" s="33" t="str">
        <f aca="false">IF($E96="","",(1/$G96)/$I96)</f>
        <v/>
      </c>
      <c r="M96" s="34" t="str">
        <f aca="false">IF($E96="","",0.5*(($J96-($D96="H")*1)^2+(($J96+$K96)-(($D96="H")*1+($D96="D")*1))^2))</f>
        <v/>
      </c>
      <c r="N96" s="34" t="str">
        <f aca="false">IF($E96="","",($J96-($D96="H")*1)^2+($K96-($D96="D")*1)^2+($L96-($D96="A")*1)^2)</f>
        <v/>
      </c>
      <c r="O96" s="34" t="str">
        <f aca="false">IF($E96="","",-LN(IF($D96="H",$J96,IF($D96="D",$K96,$L96))))</f>
        <v/>
      </c>
      <c r="P96" s="31" t="str">
        <f aca="false">IF($E96="","",IF(AND($E96&lt;=$F96,$E96&lt;=$G96),"H",IF(AND($F96&lt;=$E96,$F96&lt;=$G96),"D","A")))</f>
        <v/>
      </c>
      <c r="Q96" s="34" t="str">
        <f aca="false">IF($E96="","",0.5*((($P96="H")*1-($D96="H")*1)^2+((($P96="H")*1+($P96="D")*1)-(($D96="H")*1+($D96="D")*1))^2))</f>
        <v/>
      </c>
      <c r="R96" s="35" t="str">
        <f aca="false">IF($E96="","",IF($P96=$D96,IF($P96="H",$E96,IF($P96="D",$F96,$G96))-1,-1))</f>
        <v/>
      </c>
      <c r="S96" s="34" t="str">
        <f aca="false">IF($E96="","",0.5*((1/3-($D96="H")*1)^2+((2/3)-(($D96="H")*1+($D96="D")*1))^2))</f>
        <v/>
      </c>
      <c r="T96" s="31"/>
      <c r="U96" s="33" t="str">
        <f aca="false">IF(OR($T96="",$E96=""),"",$T96/IF($P96="H",$E96,IF($P96="D",$F96,$G96))-1)</f>
        <v/>
      </c>
    </row>
    <row r="97" customFormat="false" ht="15" hidden="false" customHeight="false" outlineLevel="0" collapsed="false">
      <c r="A97" s="29" t="n">
        <v>46202</v>
      </c>
      <c r="B97" s="24" t="s">
        <v>221</v>
      </c>
      <c r="C97" s="30" t="s">
        <v>35</v>
      </c>
      <c r="D97" s="31" t="str">
        <f aca="false">IF($C97="","",IF(VALUE(LEFT($C97,FIND("-",$C97)-1))&gt;VALUE(MID($C97,FIND("-",$C97)+1,5)),"H",IF(VALUE(LEFT($C97,FIND("-",$C97)-1))=VALUE(MID($C97,FIND("-",$C97)+1,5)),"D","A")))</f>
        <v>D</v>
      </c>
      <c r="E97" s="31"/>
      <c r="F97" s="31"/>
      <c r="G97" s="31"/>
      <c r="H97" s="31"/>
      <c r="I97" s="32" t="str">
        <f aca="false">IF($E97="","",1/$E97+1/$F97+1/$G97)</f>
        <v/>
      </c>
      <c r="J97" s="33" t="str">
        <f aca="false">IF($E97="","",(1/$E97)/$I97)</f>
        <v/>
      </c>
      <c r="K97" s="33" t="str">
        <f aca="false">IF($E97="","",(1/$F97)/$I97)</f>
        <v/>
      </c>
      <c r="L97" s="33" t="str">
        <f aca="false">IF($E97="","",(1/$G97)/$I97)</f>
        <v/>
      </c>
      <c r="M97" s="34" t="str">
        <f aca="false">IF($E97="","",0.5*(($J97-($D97="H")*1)^2+(($J97+$K97)-(($D97="H")*1+($D97="D")*1))^2))</f>
        <v/>
      </c>
      <c r="N97" s="34" t="str">
        <f aca="false">IF($E97="","",($J97-($D97="H")*1)^2+($K97-($D97="D")*1)^2+($L97-($D97="A")*1)^2)</f>
        <v/>
      </c>
      <c r="O97" s="34" t="str">
        <f aca="false">IF($E97="","",-LN(IF($D97="H",$J97,IF($D97="D",$K97,$L97))))</f>
        <v/>
      </c>
      <c r="P97" s="31" t="str">
        <f aca="false">IF($E97="","",IF(AND($E97&lt;=$F97,$E97&lt;=$G97),"H",IF(AND($F97&lt;=$E97,$F97&lt;=$G97),"D","A")))</f>
        <v/>
      </c>
      <c r="Q97" s="34" t="str">
        <f aca="false">IF($E97="","",0.5*((($P97="H")*1-($D97="H")*1)^2+((($P97="H")*1+($P97="D")*1)-(($D97="H")*1+($D97="D")*1))^2))</f>
        <v/>
      </c>
      <c r="R97" s="35" t="str">
        <f aca="false">IF($E97="","",IF($P97=$D97,IF($P97="H",$E97,IF($P97="D",$F97,$G97))-1,-1))</f>
        <v/>
      </c>
      <c r="S97" s="34" t="str">
        <f aca="false">IF($E97="","",0.5*((1/3-($D97="H")*1)^2+((2/3)-(($D97="H")*1+($D97="D")*1))^2))</f>
        <v/>
      </c>
      <c r="T97" s="31"/>
      <c r="U97" s="33" t="str">
        <f aca="false">IF(OR($T97="",$E97=""),"",$T97/IF($P97="H",$E97,IF($P97="D",$F97,$G97))-1)</f>
        <v/>
      </c>
    </row>
    <row r="98" customFormat="false" ht="15" hidden="false" customHeight="false" outlineLevel="0" collapsed="false">
      <c r="A98" s="29" t="n">
        <v>46203</v>
      </c>
      <c r="B98" s="24" t="s">
        <v>222</v>
      </c>
      <c r="C98" s="30" t="s">
        <v>31</v>
      </c>
      <c r="D98" s="31" t="str">
        <f aca="false">IF($C98="","",IF(VALUE(LEFT($C98,FIND("-",$C98)-1))&gt;VALUE(MID($C98,FIND("-",$C98)+1,5)),"H",IF(VALUE(LEFT($C98,FIND("-",$C98)-1))=VALUE(MID($C98,FIND("-",$C98)+1,5)),"D","A")))</f>
        <v>H</v>
      </c>
      <c r="E98" s="31"/>
      <c r="F98" s="31"/>
      <c r="G98" s="31"/>
      <c r="H98" s="31"/>
      <c r="I98" s="32" t="str">
        <f aca="false">IF($E98="","",1/$E98+1/$F98+1/$G98)</f>
        <v/>
      </c>
      <c r="J98" s="33" t="str">
        <f aca="false">IF($E98="","",(1/$E98)/$I98)</f>
        <v/>
      </c>
      <c r="K98" s="33" t="str">
        <f aca="false">IF($E98="","",(1/$F98)/$I98)</f>
        <v/>
      </c>
      <c r="L98" s="33" t="str">
        <f aca="false">IF($E98="","",(1/$G98)/$I98)</f>
        <v/>
      </c>
      <c r="M98" s="34" t="str">
        <f aca="false">IF($E98="","",0.5*(($J98-($D98="H")*1)^2+(($J98+$K98)-(($D98="H")*1+($D98="D")*1))^2))</f>
        <v/>
      </c>
      <c r="N98" s="34" t="str">
        <f aca="false">IF($E98="","",($J98-($D98="H")*1)^2+($K98-($D98="D")*1)^2+($L98-($D98="A")*1)^2)</f>
        <v/>
      </c>
      <c r="O98" s="34" t="str">
        <f aca="false">IF($E98="","",-LN(IF($D98="H",$J98,IF($D98="D",$K98,$L98))))</f>
        <v/>
      </c>
      <c r="P98" s="31" t="str">
        <f aca="false">IF($E98="","",IF(AND($E98&lt;=$F98,$E98&lt;=$G98),"H",IF(AND($F98&lt;=$E98,$F98&lt;=$G98),"D","A")))</f>
        <v/>
      </c>
      <c r="Q98" s="34" t="str">
        <f aca="false">IF($E98="","",0.5*((($P98="H")*1-($D98="H")*1)^2+((($P98="H")*1+($P98="D")*1)-(($D98="H")*1+($D98="D")*1))^2))</f>
        <v/>
      </c>
      <c r="R98" s="35" t="str">
        <f aca="false">IF($E98="","",IF($P98=$D98,IF($P98="H",$E98,IF($P98="D",$F98,$G98))-1,-1))</f>
        <v/>
      </c>
      <c r="S98" s="34" t="str">
        <f aca="false">IF($E98="","",0.5*((1/3-($D98="H")*1)^2+((2/3)-(($D98="H")*1+($D98="D")*1))^2))</f>
        <v/>
      </c>
      <c r="T98" s="31"/>
      <c r="U98" s="33" t="str">
        <f aca="false">IF(OR($T98="",$E98=""),"",$T98/IF($P98="H",$E98,IF($P98="D",$F98,$G98))-1)</f>
        <v/>
      </c>
    </row>
    <row r="99" customFormat="false" ht="15" hidden="false" customHeight="false" outlineLevel="0" collapsed="false">
      <c r="A99" s="29" t="n">
        <v>46203</v>
      </c>
      <c r="B99" s="24" t="s">
        <v>223</v>
      </c>
      <c r="C99" s="30" t="s">
        <v>96</v>
      </c>
      <c r="D99" s="31" t="str">
        <f aca="false">IF($C99="","",IF(VALUE(LEFT($C99,FIND("-",$C99)-1))&gt;VALUE(MID($C99,FIND("-",$C99)+1,5)),"H",IF(VALUE(LEFT($C99,FIND("-",$C99)-1))=VALUE(MID($C99,FIND("-",$C99)+1,5)),"D","A")))</f>
        <v>H</v>
      </c>
      <c r="E99" s="31"/>
      <c r="F99" s="31"/>
      <c r="G99" s="31"/>
      <c r="H99" s="31"/>
      <c r="I99" s="32" t="str">
        <f aca="false">IF($E99="","",1/$E99+1/$F99+1/$G99)</f>
        <v/>
      </c>
      <c r="J99" s="33" t="str">
        <f aca="false">IF($E99="","",(1/$E99)/$I99)</f>
        <v/>
      </c>
      <c r="K99" s="33" t="str">
        <f aca="false">IF($E99="","",(1/$F99)/$I99)</f>
        <v/>
      </c>
      <c r="L99" s="33" t="str">
        <f aca="false">IF($E99="","",(1/$G99)/$I99)</f>
        <v/>
      </c>
      <c r="M99" s="34" t="str">
        <f aca="false">IF($E99="","",0.5*(($J99-($D99="H")*1)^2+(($J99+$K99)-(($D99="H")*1+($D99="D")*1))^2))</f>
        <v/>
      </c>
      <c r="N99" s="34" t="str">
        <f aca="false">IF($E99="","",($J99-($D99="H")*1)^2+($K99-($D99="D")*1)^2+($L99-($D99="A")*1)^2)</f>
        <v/>
      </c>
      <c r="O99" s="34" t="str">
        <f aca="false">IF($E99="","",-LN(IF($D99="H",$J99,IF($D99="D",$K99,$L99))))</f>
        <v/>
      </c>
      <c r="P99" s="31" t="str">
        <f aca="false">IF($E99="","",IF(AND($E99&lt;=$F99,$E99&lt;=$G99),"H",IF(AND($F99&lt;=$E99,$F99&lt;=$G99),"D","A")))</f>
        <v/>
      </c>
      <c r="Q99" s="34" t="str">
        <f aca="false">IF($E99="","",0.5*((($P99="H")*1-($D99="H")*1)^2+((($P99="H")*1+($P99="D")*1)-(($D99="H")*1+($D99="D")*1))^2))</f>
        <v/>
      </c>
      <c r="R99" s="35" t="str">
        <f aca="false">IF($E99="","",IF($P99=$D99,IF($P99="H",$E99,IF($P99="D",$F99,$G99))-1,-1))</f>
        <v/>
      </c>
      <c r="S99" s="34" t="str">
        <f aca="false">IF($E99="","",0.5*((1/3-($D99="H")*1)^2+((2/3)-(($D99="H")*1+($D99="D")*1))^2))</f>
        <v/>
      </c>
      <c r="T99" s="31"/>
      <c r="U99" s="33" t="str">
        <f aca="false">IF(OR($T99="",$E99=""),"",$T99/IF($P99="H",$E99,IF($P99="D",$F99,$G99))-1)</f>
        <v/>
      </c>
    </row>
    <row r="100" customFormat="false" ht="15" hidden="false" customHeight="false" outlineLevel="0" collapsed="false">
      <c r="A100" s="29" t="n">
        <v>46203</v>
      </c>
      <c r="B100" s="24" t="s">
        <v>224</v>
      </c>
      <c r="C100" s="30" t="s">
        <v>27</v>
      </c>
      <c r="D100" s="31" t="str">
        <f aca="false">IF($C100="","",IF(VALUE(LEFT($C100,FIND("-",$C100)-1))&gt;VALUE(MID($C100,FIND("-",$C100)+1,5)),"H",IF(VALUE(LEFT($C100,FIND("-",$C100)-1))=VALUE(MID($C100,FIND("-",$C100)+1,5)),"D","A")))</f>
        <v>H</v>
      </c>
      <c r="E100" s="31"/>
      <c r="F100" s="31"/>
      <c r="G100" s="31"/>
      <c r="H100" s="31"/>
      <c r="I100" s="32" t="str">
        <f aca="false">IF($E100="","",1/$E100+1/$F100+1/$G100)</f>
        <v/>
      </c>
      <c r="J100" s="33" t="str">
        <f aca="false">IF($E100="","",(1/$E100)/$I100)</f>
        <v/>
      </c>
      <c r="K100" s="33" t="str">
        <f aca="false">IF($E100="","",(1/$F100)/$I100)</f>
        <v/>
      </c>
      <c r="L100" s="33" t="str">
        <f aca="false">IF($E100="","",(1/$G100)/$I100)</f>
        <v/>
      </c>
      <c r="M100" s="34" t="str">
        <f aca="false">IF($E100="","",0.5*(($J100-($D100="H")*1)^2+(($J100+$K100)-(($D100="H")*1+($D100="D")*1))^2))</f>
        <v/>
      </c>
      <c r="N100" s="34" t="str">
        <f aca="false">IF($E100="","",($J100-($D100="H")*1)^2+($K100-($D100="D")*1)^2+($L100-($D100="A")*1)^2)</f>
        <v/>
      </c>
      <c r="O100" s="34" t="str">
        <f aca="false">IF($E100="","",-LN(IF($D100="H",$J100,IF($D100="D",$K100,$L100))))</f>
        <v/>
      </c>
      <c r="P100" s="31" t="str">
        <f aca="false">IF($E100="","",IF(AND($E100&lt;=$F100,$E100&lt;=$G100),"H",IF(AND($F100&lt;=$E100,$F100&lt;=$G100),"D","A")))</f>
        <v/>
      </c>
      <c r="Q100" s="34" t="str">
        <f aca="false">IF($E100="","",0.5*((($P100="H")*1-($D100="H")*1)^2+((($P100="H")*1+($P100="D")*1)-(($D100="H")*1+($D100="D")*1))^2))</f>
        <v/>
      </c>
      <c r="R100" s="35" t="str">
        <f aca="false">IF($E100="","",IF($P100=$D100,IF($P100="H",$E100,IF($P100="D",$F100,$G100))-1,-1))</f>
        <v/>
      </c>
      <c r="S100" s="34" t="str">
        <f aca="false">IF($E100="","",0.5*((1/3-($D100="H")*1)^2+((2/3)-(($D100="H")*1+($D100="D")*1))^2))</f>
        <v/>
      </c>
      <c r="T100" s="31"/>
      <c r="U100" s="33" t="str">
        <f aca="false">IF(OR($T100="",$E100=""),"",$T100/IF($P100="H",$E100,IF($P100="D",$F100,$G100))-1)</f>
        <v/>
      </c>
    </row>
    <row r="101" customFormat="false" ht="15" hidden="false" customHeight="false" outlineLevel="0" collapsed="false">
      <c r="A101" s="29" t="n">
        <v>46204</v>
      </c>
      <c r="B101" s="24" t="s">
        <v>225</v>
      </c>
      <c r="C101" s="30" t="s">
        <v>31</v>
      </c>
      <c r="D101" s="31" t="str">
        <f aca="false">IF($C101="","",IF(VALUE(LEFT($C101,FIND("-",$C101)-1))&gt;VALUE(MID($C101,FIND("-",$C101)+1,5)),"H",IF(VALUE(LEFT($C101,FIND("-",$C101)-1))=VALUE(MID($C101,FIND("-",$C101)+1,5)),"D","A")))</f>
        <v>H</v>
      </c>
      <c r="E101" s="31"/>
      <c r="F101" s="31"/>
      <c r="G101" s="31"/>
      <c r="H101" s="31"/>
      <c r="I101" s="32" t="str">
        <f aca="false">IF($E101="","",1/$E101+1/$F101+1/$G101)</f>
        <v/>
      </c>
      <c r="J101" s="33" t="str">
        <f aca="false">IF($E101="","",(1/$E101)/$I101)</f>
        <v/>
      </c>
      <c r="K101" s="33" t="str">
        <f aca="false">IF($E101="","",(1/$F101)/$I101)</f>
        <v/>
      </c>
      <c r="L101" s="33" t="str">
        <f aca="false">IF($E101="","",(1/$G101)/$I101)</f>
        <v/>
      </c>
      <c r="M101" s="34" t="str">
        <f aca="false">IF($E101="","",0.5*(($J101-($D101="H")*1)^2+(($J101+$K101)-(($D101="H")*1+($D101="D")*1))^2))</f>
        <v/>
      </c>
      <c r="N101" s="34" t="str">
        <f aca="false">IF($E101="","",($J101-($D101="H")*1)^2+($K101-($D101="D")*1)^2+($L101-($D101="A")*1)^2)</f>
        <v/>
      </c>
      <c r="O101" s="34" t="str">
        <f aca="false">IF($E101="","",-LN(IF($D101="H",$J101,IF($D101="D",$K101,$L101))))</f>
        <v/>
      </c>
      <c r="P101" s="31" t="str">
        <f aca="false">IF($E101="","",IF(AND($E101&lt;=$F101,$E101&lt;=$G101),"H",IF(AND($F101&lt;=$E101,$F101&lt;=$G101),"D","A")))</f>
        <v/>
      </c>
      <c r="Q101" s="34" t="str">
        <f aca="false">IF($E101="","",0.5*((($P101="H")*1-($D101="H")*1)^2+((($P101="H")*1+($P101="D")*1)-(($D101="H")*1+($D101="D")*1))^2))</f>
        <v/>
      </c>
      <c r="R101" s="35" t="str">
        <f aca="false">IF($E101="","",IF($P101=$D101,IF($P101="H",$E101,IF($P101="D",$F101,$G101))-1,-1))</f>
        <v/>
      </c>
      <c r="S101" s="34" t="str">
        <f aca="false">IF($E101="","",0.5*((1/3-($D101="H")*1)^2+((2/3)-(($D101="H")*1+($D101="D")*1))^2))</f>
        <v/>
      </c>
      <c r="T101" s="31"/>
      <c r="U101" s="33" t="str">
        <f aca="false">IF(OR($T101="",$E101=""),"",$T101/IF($P101="H",$E101,IF($P101="D",$F101,$G101))-1)</f>
        <v/>
      </c>
    </row>
    <row r="102" customFormat="false" ht="15" hidden="false" customHeight="false" outlineLevel="0" collapsed="false">
      <c r="A102" s="29" t="n">
        <v>46204</v>
      </c>
      <c r="B102" s="24" t="s">
        <v>226</v>
      </c>
      <c r="C102" s="30" t="s">
        <v>62</v>
      </c>
      <c r="D102" s="31" t="str">
        <f aca="false">IF($C102="","",IF(VALUE(LEFT($C102,FIND("-",$C102)-1))&gt;VALUE(MID($C102,FIND("-",$C102)+1,5)),"H",IF(VALUE(LEFT($C102,FIND("-",$C102)-1))=VALUE(MID($C102,FIND("-",$C102)+1,5)),"D","A")))</f>
        <v>D</v>
      </c>
      <c r="E102" s="31"/>
      <c r="F102" s="31"/>
      <c r="G102" s="31"/>
      <c r="H102" s="31"/>
      <c r="I102" s="32" t="str">
        <f aca="false">IF($E102="","",1/$E102+1/$F102+1/$G102)</f>
        <v/>
      </c>
      <c r="J102" s="33" t="str">
        <f aca="false">IF($E102="","",(1/$E102)/$I102)</f>
        <v/>
      </c>
      <c r="K102" s="33" t="str">
        <f aca="false">IF($E102="","",(1/$F102)/$I102)</f>
        <v/>
      </c>
      <c r="L102" s="33" t="str">
        <f aca="false">IF($E102="","",(1/$G102)/$I102)</f>
        <v/>
      </c>
      <c r="M102" s="34" t="str">
        <f aca="false">IF($E102="","",0.5*(($J102-($D102="H")*1)^2+(($J102+$K102)-(($D102="H")*1+($D102="D")*1))^2))</f>
        <v/>
      </c>
      <c r="N102" s="34" t="str">
        <f aca="false">IF($E102="","",($J102-($D102="H")*1)^2+($K102-($D102="D")*1)^2+($L102-($D102="A")*1)^2)</f>
        <v/>
      </c>
      <c r="O102" s="34" t="str">
        <f aca="false">IF($E102="","",-LN(IF($D102="H",$J102,IF($D102="D",$K102,$L102))))</f>
        <v/>
      </c>
      <c r="P102" s="31" t="str">
        <f aca="false">IF($E102="","",IF(AND($E102&lt;=$F102,$E102&lt;=$G102),"H",IF(AND($F102&lt;=$E102,$F102&lt;=$G102),"D","A")))</f>
        <v/>
      </c>
      <c r="Q102" s="34" t="str">
        <f aca="false">IF($E102="","",0.5*((($P102="H")*1-($D102="H")*1)^2+((($P102="H")*1+($P102="D")*1)-(($D102="H")*1+($D102="D")*1))^2))</f>
        <v/>
      </c>
      <c r="R102" s="35" t="str">
        <f aca="false">IF($E102="","",IF($P102=$D102,IF($P102="H",$E102,IF($P102="D",$F102,$G102))-1,-1))</f>
        <v/>
      </c>
      <c r="S102" s="34" t="str">
        <f aca="false">IF($E102="","",0.5*((1/3-($D102="H")*1)^2+((2/3)-(($D102="H")*1+($D102="D")*1))^2))</f>
        <v/>
      </c>
      <c r="T102" s="31"/>
      <c r="U102" s="33" t="str">
        <f aca="false">IF(OR($T102="",$E102=""),"",$T102/IF($P102="H",$E102,IF($P102="D",$F102,$G102))-1)</f>
        <v/>
      </c>
    </row>
    <row r="103" customFormat="false" ht="15" hidden="false" customHeight="false" outlineLevel="0" collapsed="false">
      <c r="A103" s="29" t="n">
        <v>46204</v>
      </c>
      <c r="B103" s="24" t="s">
        <v>228</v>
      </c>
      <c r="C103" s="30" t="s">
        <v>27</v>
      </c>
      <c r="D103" s="31" t="str">
        <f aca="false">IF($C103="","",IF(VALUE(LEFT($C103,FIND("-",$C103)-1))&gt;VALUE(MID($C103,FIND("-",$C103)+1,5)),"H",IF(VALUE(LEFT($C103,FIND("-",$C103)-1))=VALUE(MID($C103,FIND("-",$C103)+1,5)),"D","A")))</f>
        <v>H</v>
      </c>
      <c r="E103" s="31"/>
      <c r="F103" s="31"/>
      <c r="G103" s="31"/>
      <c r="H103" s="31"/>
      <c r="I103" s="32" t="str">
        <f aca="false">IF($E103="","",1/$E103+1/$F103+1/$G103)</f>
        <v/>
      </c>
      <c r="J103" s="33" t="str">
        <f aca="false">IF($E103="","",(1/$E103)/$I103)</f>
        <v/>
      </c>
      <c r="K103" s="33" t="str">
        <f aca="false">IF($E103="","",(1/$F103)/$I103)</f>
        <v/>
      </c>
      <c r="L103" s="33" t="str">
        <f aca="false">IF($E103="","",(1/$G103)/$I103)</f>
        <v/>
      </c>
      <c r="M103" s="34" t="str">
        <f aca="false">IF($E103="","",0.5*(($J103-($D103="H")*1)^2+(($J103+$K103)-(($D103="H")*1+($D103="D")*1))^2))</f>
        <v/>
      </c>
      <c r="N103" s="34" t="str">
        <f aca="false">IF($E103="","",($J103-($D103="H")*1)^2+($K103-($D103="D")*1)^2+($L103-($D103="A")*1)^2)</f>
        <v/>
      </c>
      <c r="O103" s="34" t="str">
        <f aca="false">IF($E103="","",-LN(IF($D103="H",$J103,IF($D103="D",$K103,$L103))))</f>
        <v/>
      </c>
      <c r="P103" s="31" t="str">
        <f aca="false">IF($E103="","",IF(AND($E103&lt;=$F103,$E103&lt;=$G103),"H",IF(AND($F103&lt;=$E103,$F103&lt;=$G103),"D","A")))</f>
        <v/>
      </c>
      <c r="Q103" s="34" t="str">
        <f aca="false">IF($E103="","",0.5*((($P103="H")*1-($D103="H")*1)^2+((($P103="H")*1+($P103="D")*1)-(($D103="H")*1+($D103="D")*1))^2))</f>
        <v/>
      </c>
      <c r="R103" s="35" t="str">
        <f aca="false">IF($E103="","",IF($P103=$D103,IF($P103="H",$E103,IF($P103="D",$F103,$G103))-1,-1))</f>
        <v/>
      </c>
      <c r="S103" s="34" t="str">
        <f aca="false">IF($E103="","",0.5*((1/3-($D103="H")*1)^2+((2/3)-(($D103="H")*1+($D103="D")*1))^2))</f>
        <v/>
      </c>
      <c r="T103" s="31"/>
      <c r="U103" s="33" t="str">
        <f aca="false">IF(OR($T103="",$E103=""),"",$T103/IF($P103="H",$E103,IF($P103="D",$F103,$G103))-1)</f>
        <v/>
      </c>
    </row>
    <row r="104" customFormat="false" ht="15" hidden="false" customHeight="false" outlineLevel="0" collapsed="false">
      <c r="A104" s="29" t="n">
        <v>46205</v>
      </c>
      <c r="B104" s="24" t="s">
        <v>229</v>
      </c>
      <c r="C104" s="30" t="s">
        <v>96</v>
      </c>
      <c r="D104" s="31" t="str">
        <f aca="false">IF($C104="","",IF(VALUE(LEFT($C104,FIND("-",$C104)-1))&gt;VALUE(MID($C104,FIND("-",$C104)+1,5)),"H",IF(VALUE(LEFT($C104,FIND("-",$C104)-1))=VALUE(MID($C104,FIND("-",$C104)+1,5)),"D","A")))</f>
        <v>H</v>
      </c>
      <c r="E104" s="31"/>
      <c r="F104" s="31"/>
      <c r="G104" s="31"/>
      <c r="H104" s="31"/>
      <c r="I104" s="32" t="str">
        <f aca="false">IF($E104="","",1/$E104+1/$F104+1/$G104)</f>
        <v/>
      </c>
      <c r="J104" s="33" t="str">
        <f aca="false">IF($E104="","",(1/$E104)/$I104)</f>
        <v/>
      </c>
      <c r="K104" s="33" t="str">
        <f aca="false">IF($E104="","",(1/$F104)/$I104)</f>
        <v/>
      </c>
      <c r="L104" s="33" t="str">
        <f aca="false">IF($E104="","",(1/$G104)/$I104)</f>
        <v/>
      </c>
      <c r="M104" s="34" t="str">
        <f aca="false">IF($E104="","",0.5*(($J104-($D104="H")*1)^2+(($J104+$K104)-(($D104="H")*1+($D104="D")*1))^2))</f>
        <v/>
      </c>
      <c r="N104" s="34" t="str">
        <f aca="false">IF($E104="","",($J104-($D104="H")*1)^2+($K104-($D104="D")*1)^2+($L104-($D104="A")*1)^2)</f>
        <v/>
      </c>
      <c r="O104" s="34" t="str">
        <f aca="false">IF($E104="","",-LN(IF($D104="H",$J104,IF($D104="D",$K104,$L104))))</f>
        <v/>
      </c>
      <c r="P104" s="31" t="str">
        <f aca="false">IF($E104="","",IF(AND($E104&lt;=$F104,$E104&lt;=$G104),"H",IF(AND($F104&lt;=$E104,$F104&lt;=$G104),"D","A")))</f>
        <v/>
      </c>
      <c r="Q104" s="34" t="str">
        <f aca="false">IF($E104="","",0.5*((($P104="H")*1-($D104="H")*1)^2+((($P104="H")*1+($P104="D")*1)-(($D104="H")*1+($D104="D")*1))^2))</f>
        <v/>
      </c>
      <c r="R104" s="35" t="str">
        <f aca="false">IF($E104="","",IF($P104=$D104,IF($P104="H",$E104,IF($P104="D",$F104,$G104))-1,-1))</f>
        <v/>
      </c>
      <c r="S104" s="34" t="str">
        <f aca="false">IF($E104="","",0.5*((1/3-($D104="H")*1)^2+((2/3)-(($D104="H")*1+($D104="D")*1))^2))</f>
        <v/>
      </c>
      <c r="T104" s="31"/>
      <c r="U104" s="33" t="str">
        <f aca="false">IF(OR($T104="",$E104=""),"",$T104/IF($P104="H",$E104,IF($P104="D",$F104,$G104))-1)</f>
        <v/>
      </c>
    </row>
    <row r="105" customFormat="false" ht="15" hidden="false" customHeight="false" outlineLevel="0" collapsed="false">
      <c r="A105" s="29" t="n">
        <v>46205</v>
      </c>
      <c r="B105" s="24" t="s">
        <v>230</v>
      </c>
      <c r="C105" s="30" t="s">
        <v>31</v>
      </c>
      <c r="D105" s="31" t="str">
        <f aca="false">IF($C105="","",IF(VALUE(LEFT($C105,FIND("-",$C105)-1))&gt;VALUE(MID($C105,FIND("-",$C105)+1,5)),"H",IF(VALUE(LEFT($C105,FIND("-",$C105)-1))=VALUE(MID($C105,FIND("-",$C105)+1,5)),"D","A")))</f>
        <v>H</v>
      </c>
      <c r="E105" s="31"/>
      <c r="F105" s="31"/>
      <c r="G105" s="31"/>
      <c r="H105" s="31"/>
      <c r="I105" s="32" t="str">
        <f aca="false">IF($E105="","",1/$E105+1/$F105+1/$G105)</f>
        <v/>
      </c>
      <c r="J105" s="33" t="str">
        <f aca="false">IF($E105="","",(1/$E105)/$I105)</f>
        <v/>
      </c>
      <c r="K105" s="33" t="str">
        <f aca="false">IF($E105="","",(1/$F105)/$I105)</f>
        <v/>
      </c>
      <c r="L105" s="33" t="str">
        <f aca="false">IF($E105="","",(1/$G105)/$I105)</f>
        <v/>
      </c>
      <c r="M105" s="34" t="str">
        <f aca="false">IF($E105="","",0.5*(($J105-($D105="H")*1)^2+(($J105+$K105)-(($D105="H")*1+($D105="D")*1))^2))</f>
        <v/>
      </c>
      <c r="N105" s="34" t="str">
        <f aca="false">IF($E105="","",($J105-($D105="H")*1)^2+($K105-($D105="D")*1)^2+($L105-($D105="A")*1)^2)</f>
        <v/>
      </c>
      <c r="O105" s="34" t="str">
        <f aca="false">IF($E105="","",-LN(IF($D105="H",$J105,IF($D105="D",$K105,$L105))))</f>
        <v/>
      </c>
      <c r="P105" s="31" t="str">
        <f aca="false">IF($E105="","",IF(AND($E105&lt;=$F105,$E105&lt;=$G105),"H",IF(AND($F105&lt;=$E105,$F105&lt;=$G105),"D","A")))</f>
        <v/>
      </c>
      <c r="Q105" s="34" t="str">
        <f aca="false">IF($E105="","",0.5*((($P105="H")*1-($D105="H")*1)^2+((($P105="H")*1+($P105="D")*1)-(($D105="H")*1+($D105="D")*1))^2))</f>
        <v/>
      </c>
      <c r="R105" s="35" t="str">
        <f aca="false">IF($E105="","",IF($P105=$D105,IF($P105="H",$E105,IF($P105="D",$F105,$G105))-1,-1))</f>
        <v/>
      </c>
      <c r="S105" s="34" t="str">
        <f aca="false">IF($E105="","",0.5*((1/3-($D105="H")*1)^2+((2/3)-(($D105="H")*1+($D105="D")*1))^2))</f>
        <v/>
      </c>
      <c r="T105" s="31"/>
      <c r="U105" s="33" t="str">
        <f aca="false">IF(OR($T105="",$E105=""),"",$T105/IF($P105="H",$E105,IF($P105="D",$F105,$G105))-1)</f>
        <v/>
      </c>
    </row>
    <row r="106" customFormat="false" ht="15" hidden="false" customHeight="false" outlineLevel="0" collapsed="false">
      <c r="A106" s="29" t="n">
        <v>46205</v>
      </c>
      <c r="B106" s="24" t="s">
        <v>231</v>
      </c>
      <c r="C106" s="30" t="s">
        <v>27</v>
      </c>
      <c r="D106" s="31" t="str">
        <f aca="false">IF($C106="","",IF(VALUE(LEFT($C106,FIND("-",$C106)-1))&gt;VALUE(MID($C106,FIND("-",$C106)+1,5)),"H",IF(VALUE(LEFT($C106,FIND("-",$C106)-1))=VALUE(MID($C106,FIND("-",$C106)+1,5)),"D","A")))</f>
        <v>H</v>
      </c>
      <c r="E106" s="31"/>
      <c r="F106" s="31"/>
      <c r="G106" s="31"/>
      <c r="H106" s="31"/>
      <c r="I106" s="32" t="str">
        <f aca="false">IF($E106="","",1/$E106+1/$F106+1/$G106)</f>
        <v/>
      </c>
      <c r="J106" s="33" t="str">
        <f aca="false">IF($E106="","",(1/$E106)/$I106)</f>
        <v/>
      </c>
      <c r="K106" s="33" t="str">
        <f aca="false">IF($E106="","",(1/$F106)/$I106)</f>
        <v/>
      </c>
      <c r="L106" s="33" t="str">
        <f aca="false">IF($E106="","",(1/$G106)/$I106)</f>
        <v/>
      </c>
      <c r="M106" s="34" t="str">
        <f aca="false">IF($E106="","",0.5*(($J106-($D106="H")*1)^2+(($J106+$K106)-(($D106="H")*1+($D106="D")*1))^2))</f>
        <v/>
      </c>
      <c r="N106" s="34" t="str">
        <f aca="false">IF($E106="","",($J106-($D106="H")*1)^2+($K106-($D106="D")*1)^2+($L106-($D106="A")*1)^2)</f>
        <v/>
      </c>
      <c r="O106" s="34" t="str">
        <f aca="false">IF($E106="","",-LN(IF($D106="H",$J106,IF($D106="D",$K106,$L106))))</f>
        <v/>
      </c>
      <c r="P106" s="31" t="str">
        <f aca="false">IF($E106="","",IF(AND($E106&lt;=$F106,$E106&lt;=$G106),"H",IF(AND($F106&lt;=$E106,$F106&lt;=$G106),"D","A")))</f>
        <v/>
      </c>
      <c r="Q106" s="34" t="str">
        <f aca="false">IF($E106="","",0.5*((($P106="H")*1-($D106="H")*1)^2+((($P106="H")*1+($P106="D")*1)-(($D106="H")*1+($D106="D")*1))^2))</f>
        <v/>
      </c>
      <c r="R106" s="35" t="str">
        <f aca="false">IF($E106="","",IF($P106=$D106,IF($P106="H",$E106,IF($P106="D",$F106,$G106))-1,-1))</f>
        <v/>
      </c>
      <c r="S106" s="34" t="str">
        <f aca="false">IF($E106="","",0.5*((1/3-($D106="H")*1)^2+((2/3)-(($D106="H")*1+($D106="D")*1))^2))</f>
        <v/>
      </c>
      <c r="T106" s="31"/>
      <c r="U106" s="33" t="str">
        <f aca="false">IF(OR($T106="",$E106=""),"",$T106/IF($P106="H",$E106,IF($P106="D",$F106,$G106))-1)</f>
        <v/>
      </c>
    </row>
    <row r="107" customFormat="false" ht="15" hidden="false" customHeight="false" outlineLevel="0" collapsed="false">
      <c r="A107" s="29" t="n">
        <v>46206</v>
      </c>
      <c r="B107" s="24" t="s">
        <v>232</v>
      </c>
      <c r="C107" s="30" t="s">
        <v>35</v>
      </c>
      <c r="D107" s="31" t="str">
        <f aca="false">IF($C107="","",IF(VALUE(LEFT($C107,FIND("-",$C107)-1))&gt;VALUE(MID($C107,FIND("-",$C107)+1,5)),"H",IF(VALUE(LEFT($C107,FIND("-",$C107)-1))=VALUE(MID($C107,FIND("-",$C107)+1,5)),"D","A")))</f>
        <v>D</v>
      </c>
      <c r="E107" s="31"/>
      <c r="F107" s="31"/>
      <c r="G107" s="31"/>
      <c r="H107" s="31"/>
      <c r="I107" s="32" t="str">
        <f aca="false">IF($E107="","",1/$E107+1/$F107+1/$G107)</f>
        <v/>
      </c>
      <c r="J107" s="33" t="str">
        <f aca="false">IF($E107="","",(1/$E107)/$I107)</f>
        <v/>
      </c>
      <c r="K107" s="33" t="str">
        <f aca="false">IF($E107="","",(1/$F107)/$I107)</f>
        <v/>
      </c>
      <c r="L107" s="33" t="str">
        <f aca="false">IF($E107="","",(1/$G107)/$I107)</f>
        <v/>
      </c>
      <c r="M107" s="34" t="str">
        <f aca="false">IF($E107="","",0.5*(($J107-($D107="H")*1)^2+(($J107+$K107)-(($D107="H")*1+($D107="D")*1))^2))</f>
        <v/>
      </c>
      <c r="N107" s="34" t="str">
        <f aca="false">IF($E107="","",($J107-($D107="H")*1)^2+($K107-($D107="D")*1)^2+($L107-($D107="A")*1)^2)</f>
        <v/>
      </c>
      <c r="O107" s="34" t="str">
        <f aca="false">IF($E107="","",-LN(IF($D107="H",$J107,IF($D107="D",$K107,$L107))))</f>
        <v/>
      </c>
      <c r="P107" s="31" t="str">
        <f aca="false">IF($E107="","",IF(AND($E107&lt;=$F107,$E107&lt;=$G107),"H",IF(AND($F107&lt;=$E107,$F107&lt;=$G107),"D","A")))</f>
        <v/>
      </c>
      <c r="Q107" s="34" t="str">
        <f aca="false">IF($E107="","",0.5*((($P107="H")*1-($D107="H")*1)^2+((($P107="H")*1+($P107="D")*1)-(($D107="H")*1+($D107="D")*1))^2))</f>
        <v/>
      </c>
      <c r="R107" s="35" t="str">
        <f aca="false">IF($E107="","",IF($P107=$D107,IF($P107="H",$E107,IF($P107="D",$F107,$G107))-1,-1))</f>
        <v/>
      </c>
      <c r="S107" s="34" t="str">
        <f aca="false">IF($E107="","",0.5*((1/3-($D107="H")*1)^2+((2/3)-(($D107="H")*1+($D107="D")*1))^2))</f>
        <v/>
      </c>
      <c r="T107" s="31"/>
      <c r="U107" s="33" t="str">
        <f aca="false">IF(OR($T107="",$E107=""),"",$T107/IF($P107="H",$E107,IF($P107="D",$F107,$G107))-1)</f>
        <v/>
      </c>
    </row>
    <row r="108" customFormat="false" ht="15" hidden="false" customHeight="false" outlineLevel="0" collapsed="false">
      <c r="A108" s="29" t="n">
        <v>46206</v>
      </c>
      <c r="B108" s="24" t="s">
        <v>233</v>
      </c>
      <c r="C108" s="30" t="s">
        <v>35</v>
      </c>
      <c r="D108" s="31" t="str">
        <f aca="false">IF($C108="","",IF(VALUE(LEFT($C108,FIND("-",$C108)-1))&gt;VALUE(MID($C108,FIND("-",$C108)+1,5)),"H",IF(VALUE(LEFT($C108,FIND("-",$C108)-1))=VALUE(MID($C108,FIND("-",$C108)+1,5)),"D","A")))</f>
        <v>D</v>
      </c>
      <c r="E108" s="31"/>
      <c r="F108" s="31"/>
      <c r="G108" s="31"/>
      <c r="H108" s="31"/>
      <c r="I108" s="32" t="str">
        <f aca="false">IF($E108="","",1/$E108+1/$F108+1/$G108)</f>
        <v/>
      </c>
      <c r="J108" s="33" t="str">
        <f aca="false">IF($E108="","",(1/$E108)/$I108)</f>
        <v/>
      </c>
      <c r="K108" s="33" t="str">
        <f aca="false">IF($E108="","",(1/$F108)/$I108)</f>
        <v/>
      </c>
      <c r="L108" s="33" t="str">
        <f aca="false">IF($E108="","",(1/$G108)/$I108)</f>
        <v/>
      </c>
      <c r="M108" s="34" t="str">
        <f aca="false">IF($E108="","",0.5*(($J108-($D108="H")*1)^2+(($J108+$K108)-(($D108="H")*1+($D108="D")*1))^2))</f>
        <v/>
      </c>
      <c r="N108" s="34" t="str">
        <f aca="false">IF($E108="","",($J108-($D108="H")*1)^2+($K108-($D108="D")*1)^2+($L108-($D108="A")*1)^2)</f>
        <v/>
      </c>
      <c r="O108" s="34" t="str">
        <f aca="false">IF($E108="","",-LN(IF($D108="H",$J108,IF($D108="D",$K108,$L108))))</f>
        <v/>
      </c>
      <c r="P108" s="31" t="str">
        <f aca="false">IF($E108="","",IF(AND($E108&lt;=$F108,$E108&lt;=$G108),"H",IF(AND($F108&lt;=$E108,$F108&lt;=$G108),"D","A")))</f>
        <v/>
      </c>
      <c r="Q108" s="34" t="str">
        <f aca="false">IF($E108="","",0.5*((($P108="H")*1-($D108="H")*1)^2+((($P108="H")*1+($P108="D")*1)-(($D108="H")*1+($D108="D")*1))^2))</f>
        <v/>
      </c>
      <c r="R108" s="35" t="str">
        <f aca="false">IF($E108="","",IF($P108=$D108,IF($P108="H",$E108,IF($P108="D",$F108,$G108))-1,-1))</f>
        <v/>
      </c>
      <c r="S108" s="34" t="str">
        <f aca="false">IF($E108="","",0.5*((1/3-($D108="H")*1)^2+((2/3)-(($D108="H")*1+($D108="D")*1))^2))</f>
        <v/>
      </c>
      <c r="T108" s="31"/>
      <c r="U108" s="33" t="str">
        <f aca="false">IF(OR($T108="",$E108=""),"",$T108/IF($P108="H",$E108,IF($P108="D",$F108,$G108))-1)</f>
        <v/>
      </c>
    </row>
    <row r="109" customFormat="false" ht="15" hidden="false" customHeight="false" outlineLevel="0" collapsed="false">
      <c r="A109" s="29" t="n">
        <v>46207</v>
      </c>
      <c r="B109" s="24" t="s">
        <v>234</v>
      </c>
      <c r="C109" s="30" t="s">
        <v>66</v>
      </c>
      <c r="D109" s="31" t="str">
        <f aca="false">IF($C109="","",IF(VALUE(LEFT($C109,FIND("-",$C109)-1))&gt;VALUE(MID($C109,FIND("-",$C109)+1,5)),"H",IF(VALUE(LEFT($C109,FIND("-",$C109)-1))=VALUE(MID($C109,FIND("-",$C109)+1,5)),"D","A")))</f>
        <v>H</v>
      </c>
      <c r="E109" s="31"/>
      <c r="F109" s="31"/>
      <c r="G109" s="31"/>
      <c r="H109" s="31"/>
      <c r="I109" s="32" t="str">
        <f aca="false">IF($E109="","",1/$E109+1/$F109+1/$G109)</f>
        <v/>
      </c>
      <c r="J109" s="33" t="str">
        <f aca="false">IF($E109="","",(1/$E109)/$I109)</f>
        <v/>
      </c>
      <c r="K109" s="33" t="str">
        <f aca="false">IF($E109="","",(1/$F109)/$I109)</f>
        <v/>
      </c>
      <c r="L109" s="33" t="str">
        <f aca="false">IF($E109="","",(1/$G109)/$I109)</f>
        <v/>
      </c>
      <c r="M109" s="34" t="str">
        <f aca="false">IF($E109="","",0.5*(($J109-($D109="H")*1)^2+(($J109+$K109)-(($D109="H")*1+($D109="D")*1))^2))</f>
        <v/>
      </c>
      <c r="N109" s="34" t="str">
        <f aca="false">IF($E109="","",($J109-($D109="H")*1)^2+($K109-($D109="D")*1)^2+($L109-($D109="A")*1)^2)</f>
        <v/>
      </c>
      <c r="O109" s="34" t="str">
        <f aca="false">IF($E109="","",-LN(IF($D109="H",$J109,IF($D109="D",$K109,$L109))))</f>
        <v/>
      </c>
      <c r="P109" s="31" t="str">
        <f aca="false">IF($E109="","",IF(AND($E109&lt;=$F109,$E109&lt;=$G109),"H",IF(AND($F109&lt;=$E109,$F109&lt;=$G109),"D","A")))</f>
        <v/>
      </c>
      <c r="Q109" s="34" t="str">
        <f aca="false">IF($E109="","",0.5*((($P109="H")*1-($D109="H")*1)^2+((($P109="H")*1+($P109="D")*1)-(($D109="H")*1+($D109="D")*1))^2))</f>
        <v/>
      </c>
      <c r="R109" s="35" t="str">
        <f aca="false">IF($E109="","",IF($P109=$D109,IF($P109="H",$E109,IF($P109="D",$F109,$G109))-1,-1))</f>
        <v/>
      </c>
      <c r="S109" s="34" t="str">
        <f aca="false">IF($E109="","",0.5*((1/3-($D109="H")*1)^2+((2/3)-(($D109="H")*1+($D109="D")*1))^2))</f>
        <v/>
      </c>
      <c r="T109" s="31"/>
      <c r="U109" s="33" t="str">
        <f aca="false">IF(OR($T109="",$E109=""),"",$T109/IF($P109="H",$E109,IF($P109="D",$F109,$G109))-1)</f>
        <v/>
      </c>
    </row>
    <row r="111" customFormat="false" ht="15" hidden="false" customHeight="false" outlineLevel="0" collapsed="false">
      <c r="A111" s="36" t="s">
        <v>283</v>
      </c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</row>
    <row r="112" customFormat="false" ht="15" hidden="false" customHeight="false" outlineLevel="0" collapsed="false">
      <c r="A112" s="36" t="s">
        <v>284</v>
      </c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</row>
    <row r="113" customFormat="false" ht="15" hidden="false" customHeight="false" outlineLevel="0" collapsed="false">
      <c r="A113" s="36" t="s">
        <v>285</v>
      </c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</row>
    <row r="114" customFormat="false" ht="15" hidden="false" customHeight="false" outlineLevel="0" collapsed="false">
      <c r="A114" s="36" t="s">
        <v>286</v>
      </c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</row>
    <row r="115" customFormat="false" ht="15" hidden="false" customHeight="false" outlineLevel="0" collapsed="false">
      <c r="A115" s="36" t="s">
        <v>287</v>
      </c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</row>
    <row r="116" customFormat="false" ht="15" hidden="false" customHeight="false" outlineLevel="0" collapsed="false">
      <c r="A116" s="36" t="s">
        <v>288</v>
      </c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</row>
  </sheetData>
  <mergeCells count="7">
    <mergeCell ref="A2:U2"/>
    <mergeCell ref="A111:U111"/>
    <mergeCell ref="A112:U112"/>
    <mergeCell ref="A113:U113"/>
    <mergeCell ref="A114:U114"/>
    <mergeCell ref="A115:U115"/>
    <mergeCell ref="A116:U1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2026-06-19T15:34:41Z</dcterms:created>
  <dc:creator>openpyxl</dc:creator>
  <dc:description/>
  <dc:language>en-US</dc:language>
  <cp:lastModifiedBy/>
  <dcterms:modified xsi:type="dcterms:W3CDTF">2026-07-04T23:11:58Z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